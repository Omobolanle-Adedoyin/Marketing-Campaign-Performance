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GNOp\OneDrive\Documents\Task\B PROJECT\"/>
    </mc:Choice>
  </mc:AlternateContent>
  <xr:revisionPtr revIDLastSave="0" documentId="8_{B2568241-9C3C-4A98-9001-5951E4F0117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CLEANED DATA" sheetId="3" r:id="rId2"/>
    <sheet name="KPI'S" sheetId="4" r:id="rId3"/>
    <sheet name="PIVOT TABLES" sheetId="5" r:id="rId4"/>
    <sheet name="Insights &amp; Recommendations" sheetId="6" r:id="rId5"/>
  </sheets>
  <definedNames>
    <definedName name="_xlnm._FilterDatabase" localSheetId="1" hidden="1">'CLEANED DATA'!$A$1:$AH$2241</definedName>
    <definedName name="_xlnm._FilterDatabase" localSheetId="0" hidden="1">'RAW DATA'!$E$1:$E$2241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G3" i="4"/>
  <c r="A3" i="4"/>
  <c r="C3" i="4"/>
  <c r="E3" i="4" s="1"/>
  <c r="I3" i="4" l="1"/>
</calcChain>
</file>

<file path=xl/sharedStrings.xml><?xml version="1.0" encoding="utf-8"?>
<sst xmlns="http://schemas.openxmlformats.org/spreadsheetml/2006/main" count="11321" uniqueCount="755">
  <si>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</si>
  <si>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</si>
  <si>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</si>
  <si>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</si>
  <si>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</si>
  <si>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</si>
  <si>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</si>
  <si>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</si>
  <si>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</si>
  <si>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</si>
  <si>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</si>
  <si>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</si>
  <si>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</si>
  <si>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</si>
  <si>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</si>
  <si>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</si>
  <si>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</si>
  <si>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</si>
  <si>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</si>
  <si>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</si>
  <si>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</si>
  <si>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</si>
  <si>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</si>
  <si>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</si>
  <si>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</si>
  <si>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</si>
  <si>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</si>
  <si>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</si>
  <si>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</si>
  <si>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</si>
  <si>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</si>
  <si>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</si>
  <si>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</si>
  <si>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</si>
  <si>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</si>
  <si>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</si>
  <si>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</si>
  <si>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</si>
  <si>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</si>
  <si>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</si>
  <si>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</si>
  <si>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</si>
  <si>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</si>
  <si>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</si>
  <si>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</si>
  <si>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</si>
  <si>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</si>
  <si>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</si>
  <si>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</si>
  <si>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</si>
  <si>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</si>
  <si>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</si>
  <si>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</si>
  <si>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</si>
  <si>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</si>
  <si>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</si>
  <si>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</si>
  <si>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</si>
  <si>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</si>
  <si>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</si>
  <si>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</si>
  <si>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</si>
  <si>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</si>
  <si>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</si>
  <si>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</si>
  <si>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</si>
  <si>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</si>
  <si>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</si>
  <si>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</si>
  <si>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</si>
  <si>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</si>
  <si>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</si>
  <si>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</si>
  <si>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</si>
  <si>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</si>
  <si>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</si>
  <si>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</si>
  <si>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</si>
  <si>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</si>
  <si>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</si>
  <si>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</si>
  <si>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</si>
  <si>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</si>
  <si>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</si>
  <si>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</si>
  <si>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</si>
  <si>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</si>
  <si>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</si>
  <si>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</si>
  <si>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</si>
  <si>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</si>
  <si>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</si>
  <si>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</si>
  <si>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</si>
  <si>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</si>
  <si>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</si>
  <si>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</si>
  <si>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</si>
  <si>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</si>
  <si>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</si>
  <si>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</si>
  <si>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</si>
  <si>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</si>
  <si>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</si>
  <si>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</si>
  <si>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</si>
  <si>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</si>
  <si>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</si>
  <si>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</si>
  <si>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</si>
  <si>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</si>
  <si>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</si>
  <si>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</si>
  <si>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</si>
  <si>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</si>
  <si>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</si>
  <si>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</si>
  <si>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</si>
  <si>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</si>
  <si>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</si>
  <si>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</si>
  <si>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</si>
  <si>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</si>
  <si>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</si>
  <si>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</si>
  <si>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</si>
  <si>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</si>
  <si>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</si>
  <si>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</si>
  <si>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</si>
  <si>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</si>
  <si>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</si>
  <si>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</si>
  <si>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</si>
  <si>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</si>
  <si>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</si>
  <si>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</si>
  <si>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</si>
  <si>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</si>
  <si>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</si>
  <si>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</si>
  <si>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</si>
  <si>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</si>
  <si>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</si>
  <si>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</si>
  <si>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</si>
  <si>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</si>
  <si>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</si>
  <si>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</si>
  <si>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</si>
  <si>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</si>
  <si>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</si>
  <si>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</si>
  <si>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</si>
  <si>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</si>
  <si>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</si>
  <si>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</si>
  <si>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</si>
  <si>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</si>
  <si>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</si>
  <si>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</si>
  <si>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</si>
  <si>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</si>
  <si>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</si>
  <si>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</si>
  <si>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</si>
  <si>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</si>
  <si>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</si>
  <si>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</si>
  <si>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</si>
  <si>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</si>
  <si>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</si>
  <si>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</si>
  <si>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</si>
  <si>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</si>
  <si>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</si>
  <si>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</si>
  <si>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</si>
  <si>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</si>
  <si>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</si>
  <si>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</si>
  <si>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</si>
  <si>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</si>
  <si>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</si>
  <si>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</si>
  <si>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</si>
  <si>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</si>
  <si>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</si>
  <si>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</si>
  <si>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</si>
  <si>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</si>
  <si>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</si>
  <si>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</si>
  <si>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</si>
  <si>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</si>
  <si>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</si>
  <si>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</si>
  <si>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</si>
  <si>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</si>
  <si>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</si>
  <si>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</si>
  <si>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</si>
  <si>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</si>
  <si>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</si>
  <si>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</si>
  <si>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</si>
  <si>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</si>
  <si>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</si>
  <si>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</si>
  <si>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</si>
  <si>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</si>
  <si>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</si>
  <si>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</si>
  <si>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</si>
  <si>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</si>
  <si>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</si>
  <si>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</si>
  <si>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</si>
  <si>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</si>
  <si>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</si>
  <si>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</si>
  <si>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</si>
  <si>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</si>
  <si>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</si>
  <si>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</si>
  <si>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</si>
  <si>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</si>
  <si>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</si>
  <si>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</si>
  <si>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</si>
  <si>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</si>
  <si>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</si>
  <si>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</si>
  <si>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</si>
  <si>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</si>
  <si>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</si>
  <si>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</si>
  <si>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</si>
  <si>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</si>
  <si>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</si>
  <si>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</si>
  <si>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</si>
  <si>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</si>
  <si>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</si>
  <si>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</si>
  <si>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</si>
  <si>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</si>
  <si>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</si>
  <si>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</si>
  <si>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</si>
  <si>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</si>
  <si>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</si>
  <si>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</si>
  <si>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</si>
  <si>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</si>
  <si>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</si>
  <si>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</si>
  <si>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</si>
  <si>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</si>
  <si>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</si>
  <si>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</si>
  <si>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</si>
  <si>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</si>
  <si>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</si>
  <si>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</si>
  <si>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</si>
  <si>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</si>
  <si>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</si>
  <si>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</si>
  <si>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</si>
  <si>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</si>
  <si>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</si>
  <si>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</si>
  <si>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</si>
  <si>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</si>
  <si>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</si>
  <si>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</si>
  <si>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</si>
  <si>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</si>
  <si>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</si>
  <si>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</si>
  <si>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</si>
  <si>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</si>
  <si>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</si>
  <si>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</si>
  <si>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</si>
  <si>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</si>
  <si>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</si>
  <si>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</si>
  <si>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</si>
  <si>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</si>
  <si>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</si>
  <si>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</si>
  <si>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</si>
  <si>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</si>
  <si>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</si>
  <si>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</si>
  <si>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</si>
  <si>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</si>
  <si>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</si>
  <si>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</si>
  <si>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</si>
  <si>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</si>
  <si>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</si>
  <si>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</si>
  <si>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</si>
  <si>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</si>
  <si>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</si>
  <si>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</si>
  <si>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</si>
  <si>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</si>
  <si>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</si>
  <si>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</si>
  <si>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</si>
  <si>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</si>
  <si>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</si>
  <si>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</si>
  <si>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</si>
  <si>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</si>
  <si>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</si>
  <si>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</si>
  <si>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</si>
  <si>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</si>
  <si>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</si>
  <si>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</si>
  <si>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</si>
  <si>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</si>
  <si>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</si>
  <si>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</si>
  <si>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</si>
  <si>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</si>
  <si>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</si>
  <si>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</si>
  <si>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</si>
  <si>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</si>
  <si>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</si>
  <si>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</si>
  <si>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</si>
  <si>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</si>
  <si>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</si>
  <si>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</si>
  <si>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</si>
  <si>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</si>
  <si>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</si>
  <si>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</si>
  <si>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</si>
  <si>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</si>
  <si>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</si>
  <si>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</si>
  <si>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</si>
  <si>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</si>
  <si>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</si>
  <si>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</si>
  <si>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</si>
  <si>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</si>
  <si>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</si>
  <si>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</si>
  <si>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</si>
  <si>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</si>
  <si>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</si>
  <si>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</si>
  <si>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</si>
  <si>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</si>
  <si>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</si>
  <si>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</si>
  <si>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</si>
  <si>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</si>
  <si>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</si>
  <si>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</si>
  <si>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</si>
  <si>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</si>
  <si>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</si>
  <si>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</si>
  <si>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</si>
  <si>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</si>
  <si>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</si>
  <si>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</si>
  <si>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</si>
  <si>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</si>
  <si>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</si>
  <si>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</si>
  <si>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</si>
  <si>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</si>
  <si>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</si>
  <si>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</si>
  <si>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</si>
  <si>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</si>
  <si>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</si>
  <si>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</si>
  <si>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</si>
  <si>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</si>
  <si>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</si>
  <si>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</si>
  <si>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</si>
  <si>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</si>
  <si>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</si>
  <si>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</si>
  <si>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</si>
  <si>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</si>
  <si>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</si>
  <si>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</si>
  <si>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</si>
  <si>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</si>
  <si>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</si>
  <si>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</si>
  <si>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</si>
  <si>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</si>
  <si>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</si>
  <si>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</si>
  <si>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</si>
  <si>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</si>
  <si>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</si>
  <si>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</si>
  <si>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</si>
  <si>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</si>
  <si>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</si>
  <si>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</si>
  <si>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</si>
  <si>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</si>
  <si>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</si>
  <si>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</si>
  <si>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</si>
  <si>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</si>
  <si>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</si>
  <si>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</si>
  <si>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</si>
  <si>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</si>
  <si>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</si>
  <si>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</si>
  <si>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</si>
  <si>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</si>
  <si>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</si>
  <si>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</si>
  <si>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</si>
  <si>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</si>
  <si>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</si>
  <si>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</si>
  <si>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</si>
  <si>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</si>
  <si>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</si>
  <si>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</si>
  <si>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</si>
  <si>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</si>
  <si>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</si>
  <si>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</si>
  <si>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</si>
  <si>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</si>
  <si>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</si>
  <si>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</si>
  <si>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</si>
  <si>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</si>
  <si>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</si>
  <si>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</si>
  <si>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</si>
  <si>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</si>
  <si>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</si>
  <si>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</si>
  <si>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</si>
  <si>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</si>
  <si>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</si>
  <si>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</si>
  <si>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</si>
  <si>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</si>
  <si>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</si>
  <si>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</si>
  <si>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</si>
  <si>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</si>
  <si>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</si>
  <si>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</si>
  <si>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</si>
  <si>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</si>
  <si>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</si>
  <si>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</si>
  <si>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</si>
  <si>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</si>
  <si>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</si>
  <si>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</si>
  <si>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</si>
  <si>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</si>
  <si>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</si>
  <si>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</si>
  <si>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</si>
  <si>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</si>
  <si>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</si>
  <si>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</si>
  <si>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</si>
  <si>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</si>
  <si>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</si>
  <si>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</si>
  <si>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</si>
  <si>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</si>
  <si>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</si>
  <si>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</si>
  <si>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</si>
  <si>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</si>
  <si>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</si>
  <si>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</si>
  <si>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</si>
  <si>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</si>
  <si>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</si>
  <si>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</si>
  <si>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</si>
  <si>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</si>
  <si>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</si>
  <si>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</si>
  <si>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</si>
  <si>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</si>
  <si>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</si>
  <si>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</si>
  <si>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</si>
  <si>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</si>
  <si>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</si>
  <si>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</si>
  <si>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</si>
  <si>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</si>
  <si>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</si>
  <si>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</si>
  <si>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</si>
  <si>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</si>
  <si>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</si>
  <si>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</si>
  <si>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</si>
  <si>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</si>
  <si>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</si>
  <si>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</si>
  <si>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</si>
  <si>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</si>
  <si>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</si>
  <si>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</si>
  <si>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</si>
  <si>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</si>
  <si>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</si>
  <si>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</si>
  <si>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</si>
  <si>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</si>
  <si>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</si>
  <si>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</si>
  <si>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</si>
  <si>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</si>
  <si>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</si>
  <si>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</si>
  <si>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</si>
  <si>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</si>
  <si>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</si>
  <si>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</si>
  <si>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</si>
  <si>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</si>
  <si>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</si>
  <si>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</si>
  <si>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</si>
  <si>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</si>
  <si>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</si>
  <si>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</si>
  <si>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</si>
  <si>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</si>
  <si>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</si>
  <si>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</si>
  <si>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</si>
  <si>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</si>
  <si>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</si>
  <si>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</si>
  <si>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</si>
  <si>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</si>
  <si>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</si>
  <si>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</si>
  <si>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</si>
  <si>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</si>
  <si>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</si>
  <si>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</si>
  <si>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</si>
  <si>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</si>
  <si>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</si>
  <si>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</si>
  <si>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</si>
  <si>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</si>
  <si>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</si>
  <si>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</si>
  <si>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</si>
  <si>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</si>
  <si>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</si>
  <si>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</si>
  <si>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</si>
  <si>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</si>
  <si>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</si>
  <si>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</si>
  <si>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</si>
  <si>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</si>
  <si>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</si>
  <si>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</si>
  <si>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</si>
  <si>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</si>
  <si>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</si>
  <si>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</si>
  <si>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</si>
  <si>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</si>
  <si>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</si>
  <si>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</si>
  <si>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</si>
  <si>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</si>
  <si>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</si>
  <si>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</si>
  <si>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</si>
  <si>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</si>
  <si>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</si>
  <si>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</si>
  <si>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</si>
  <si>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</si>
  <si>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</si>
  <si>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</si>
  <si>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</si>
  <si>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</si>
  <si>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</si>
  <si>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</si>
  <si>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</si>
  <si>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</si>
  <si>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</si>
  <si>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</si>
  <si>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</si>
  <si>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</si>
  <si>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</si>
  <si>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</si>
  <si>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</si>
  <si>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</si>
  <si>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</si>
  <si>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</si>
  <si>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</si>
  <si>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</si>
  <si>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</si>
  <si>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</si>
  <si>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</si>
  <si>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</si>
  <si>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</si>
  <si>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</si>
  <si>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</si>
  <si>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</si>
  <si>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</si>
  <si>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</si>
  <si>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</si>
  <si>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</si>
  <si>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</si>
  <si>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</si>
  <si>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</si>
  <si>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</si>
  <si>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</si>
  <si>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</si>
  <si>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</si>
  <si>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</si>
  <si>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</si>
  <si>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</si>
  <si>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</si>
  <si>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</si>
  <si>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</si>
  <si>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</si>
  <si>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</si>
  <si>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</si>
  <si>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</si>
  <si>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</si>
  <si>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</si>
  <si>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</si>
  <si>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</si>
  <si>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</si>
  <si>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</si>
  <si>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</si>
  <si>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</si>
  <si>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</si>
  <si>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</si>
  <si>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</si>
  <si>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</si>
  <si>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</si>
  <si>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</si>
  <si>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</si>
  <si>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</si>
  <si>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</si>
  <si>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</si>
  <si>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</si>
  <si>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</si>
  <si>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</si>
  <si>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</si>
  <si>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</si>
  <si>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</si>
  <si>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</si>
  <si>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</si>
  <si>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</si>
  <si>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</si>
  <si>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</si>
  <si>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</si>
  <si>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</si>
  <si>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</si>
  <si>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</si>
  <si>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</si>
  <si>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</si>
  <si>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</si>
  <si>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</si>
  <si>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</si>
  <si>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2012-09-17</t>
  </si>
  <si>
    <t>2013-06-02</t>
  </si>
  <si>
    <t>2012-12-21</t>
  </si>
  <si>
    <t>2013-11-01</t>
  </si>
  <si>
    <t>2013-08-10</t>
  </si>
  <si>
    <t>2012-10-11</t>
  </si>
  <si>
    <t>2012-12-20</t>
  </si>
  <si>
    <t>2014-01-09</t>
  </si>
  <si>
    <t>Absurd</t>
  </si>
  <si>
    <t>YOLO</t>
  </si>
  <si>
    <t>Alone</t>
  </si>
  <si>
    <t>AVERAGE CUSTOMER SPEND</t>
  </si>
  <si>
    <t>TOTAL CUSTOMERS</t>
  </si>
  <si>
    <t>CAMPAIGN RESPONDERS</t>
  </si>
  <si>
    <t>CAMPAIGN RESPONSE RATE</t>
  </si>
  <si>
    <t>TOTAL PURCHASES</t>
  </si>
  <si>
    <t>Row Labels</t>
  </si>
  <si>
    <t>Grand Total</t>
  </si>
  <si>
    <t>Column Labels</t>
  </si>
  <si>
    <t>Count of ID</t>
  </si>
  <si>
    <t>Sum of MntWines</t>
  </si>
  <si>
    <t>Sum of MntFruits</t>
  </si>
  <si>
    <t>Sum of MntMeatProducts</t>
  </si>
  <si>
    <t>Sum of MntFishProducts</t>
  </si>
  <si>
    <t>Sum of MntSweetProducts</t>
  </si>
  <si>
    <t>Sum of MntGoldProds</t>
  </si>
  <si>
    <t>TOTAL SPENDING</t>
  </si>
  <si>
    <t>EXECUTIVE SUMMARY</t>
  </si>
  <si>
    <t>KEY METRICS</t>
  </si>
  <si>
    <t>Total Customers: 2,240</t>
  </si>
  <si>
    <t>Campaign Response: 334</t>
  </si>
  <si>
    <t>Response Rate: 14.91%</t>
  </si>
  <si>
    <t>Total Customer Spending: 1.36M</t>
  </si>
  <si>
    <t>Average Customer Spend: 605.80</t>
  </si>
  <si>
    <t>KEY INSIGHTS</t>
  </si>
  <si>
    <t>Campaign response varies across campaigns, showing that some campaigns perform better than others.</t>
  </si>
  <si>
    <t>Marital status groups respond differently, suggesting opportunities for targeted customer segmentation.</t>
  </si>
  <si>
    <t>Customer spending varies considerably with most customers concentrated at lower spending levels.</t>
  </si>
  <si>
    <t>Purchasing behavior differs across customers indicating that customer value is not evenly distributed.</t>
  </si>
  <si>
    <t>Campaign performance should be monitored by segment to identify the audiences most likely to respond.</t>
  </si>
  <si>
    <t>BUSINESS QUESTIONS &amp; ANSWERS</t>
  </si>
  <si>
    <t>What is the overall campaign response rate?</t>
  </si>
  <si>
    <r>
      <t>          </t>
    </r>
    <r>
      <rPr>
        <sz val="14"/>
        <color theme="1"/>
        <rFont val="Arial"/>
        <family val="2"/>
      </rPr>
      <t>The overall response rate is 14.91%, meaning that approximately 15 out of every 100 customers responded positively.</t>
    </r>
  </si>
  <si>
    <t>Which customers group  shows stronger campaign responses?</t>
  </si>
  <si>
    <r>
      <t>           </t>
    </r>
    <r>
      <rPr>
        <sz val="14"/>
        <color theme="1"/>
        <rFont val="Arial"/>
        <family val="2"/>
      </rPr>
      <t>Response levels vary across marital status and education groups indicating that customer characteristics can influence campaign engagement.</t>
    </r>
  </si>
  <si>
    <t>How does customer spending vary?</t>
  </si>
  <si>
    <r>
      <t>            </t>
    </r>
    <r>
      <rPr>
        <sz val="14"/>
        <color theme="1"/>
        <rFont val="Arial"/>
        <family val="2"/>
      </rPr>
      <t>Customer spending varies considerably with a smaller number of customers accounting for much higher spending levels.</t>
    </r>
  </si>
  <si>
    <t>What can be done to improve campaign performance?</t>
  </si>
  <si>
    <r>
      <t>           </t>
    </r>
    <r>
      <rPr>
        <sz val="14"/>
        <color theme="1"/>
        <rFont val="Arial"/>
        <family val="2"/>
      </rPr>
      <t>Future campaigns should focus on high response customer segments and use customer purchasing behaviour to create more targeted offers.</t>
    </r>
  </si>
  <si>
    <t>RECOMMENDATIONS</t>
  </si>
  <si>
    <t>Review underperforming campaign and test different messaging and offers. </t>
  </si>
  <si>
    <t>Target high response customer segments with personalized campaigns.</t>
  </si>
  <si>
    <t>Use purchasing behavior to identify high value customer and tailor promotions.</t>
  </si>
  <si>
    <t>Monitor campaign performance regularly to identify trends and improve future campaigns.</t>
  </si>
  <si>
    <t>CONCLUSIONS</t>
  </si>
  <si>
    <t xml:space="preserve">                    INSIGHTS AND RECOMMENDATION</t>
  </si>
  <si>
    <r>
      <t>     </t>
    </r>
    <r>
      <rPr>
        <sz val="14"/>
        <color theme="1"/>
        <rFont val="Arial"/>
        <family val="2"/>
      </rPr>
      <t> </t>
    </r>
    <r>
      <rPr>
        <sz val="12"/>
        <color theme="1"/>
        <rFont val="Arial"/>
        <family val="2"/>
      </rPr>
      <t>The  Campaign analysis shows an overall 14.91% response rate with performance varying across customers segment and campaigns. </t>
    </r>
  </si>
  <si>
    <t>Customer spending and purchasing behavior also differ considerably creating opportunities for  more targeted marketing. The findings can help improve campaign targeting, customer engagement and overall acceptance.</t>
  </si>
  <si>
    <r>
      <t>         </t>
    </r>
    <r>
      <rPr>
        <sz val="14"/>
        <color theme="1"/>
        <rFont val="Arial"/>
        <family val="2"/>
      </rPr>
      <t> The analysis provides valuable insights into customer behavior, spending patterns and campaign performance. With an overall response rate of 14.91% ,</t>
    </r>
  </si>
  <si>
    <t> the findings shows opportunities to improve campaign targeting and customer engagement. Using customer characteristics and purchasing behavior to guide</t>
  </si>
  <si>
    <t> future campaigns can support more effective marketing decisions and improve campaign outcomes.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</si>
</sst>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8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0" xfId="0" applyFont="1"/>
    <xf numFmtId="0" fontId="3" fillId="0" borderId="4" xfId="0" applyFont="1" applyBorder="1" applyAlignment="1">
      <alignment horizontal="center" vertical="top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7" fillId="2" borderId="0" xfId="0" applyFont="1" applyFill="1"/>
    <xf numFmtId="0" fontId="8" fillId="2" borderId="0" xfId="0" applyFont="1" applyFill="1"/>
    <xf numFmtId="0" fontId="6" fillId="2" borderId="0" xfId="0" applyFont="1" applyFill="1"/>
    <xf numFmtId="0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Education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&amp; Campaign Response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50000"/>
            </a:schemeClr>
          </a:solidFill>
          <a:ln>
            <a:solidFill>
              <a:schemeClr val="accent3">
                <a:lumMod val="50000"/>
              </a:schemeClr>
            </a:solidFill>
          </a:ln>
          <a:effectLst/>
          <a:sp3d>
            <a:contourClr>
              <a:schemeClr val="accent3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p3d>
              <a:contourClr>
                <a:schemeClr val="accent3">
                  <a:lumMod val="50000"/>
                </a:schemeClr>
              </a:contourClr>
            </a:sp3d>
          </c:spPr>
          <c:invertIfNegative val="0"/>
          <c:cat>
            <c:strRef>
              <c:f>'PIVOT TABLES'!$A$5:$A$10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'PIVOT TABLES'!$B$5:$B$10</c:f>
              <c:numCache>
                <c:formatCode>General</c:formatCode>
                <c:ptCount val="5"/>
                <c:pt idx="0">
                  <c:v>181</c:v>
                </c:pt>
                <c:pt idx="1">
                  <c:v>52</c:v>
                </c:pt>
                <c:pt idx="2">
                  <c:v>975</c:v>
                </c:pt>
                <c:pt idx="3">
                  <c:v>313</c:v>
                </c:pt>
                <c:pt idx="4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5-4C86-B4BE-D198FB80164B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TABLES'!$A$5:$A$10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'PIVOT TABLES'!$C$5:$C$10</c:f>
              <c:numCache>
                <c:formatCode>General</c:formatCode>
                <c:ptCount val="5"/>
                <c:pt idx="0">
                  <c:v>22</c:v>
                </c:pt>
                <c:pt idx="1">
                  <c:v>2</c:v>
                </c:pt>
                <c:pt idx="2">
                  <c:v>152</c:v>
                </c:pt>
                <c:pt idx="3">
                  <c:v>57</c:v>
                </c:pt>
                <c:pt idx="4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5-4C86-B4BE-D198FB801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64936064"/>
        <c:axId val="1755137808"/>
        <c:axId val="0"/>
      </c:bar3DChart>
      <c:catAx>
        <c:axId val="196493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>
                  <a:solidFill>
                    <a:sysClr val="windowText" lastClr="000000"/>
                  </a:solidFill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37808"/>
        <c:crosses val="autoZero"/>
        <c:auto val="1"/>
        <c:lblAlgn val="ctr"/>
        <c:lblOffset val="100"/>
        <c:noMultiLvlLbl val="0"/>
      </c:catAx>
      <c:valAx>
        <c:axId val="175513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>
                  <a:solidFill>
                    <a:sysClr val="windowText" lastClr="000000"/>
                  </a:solidFill>
                </a:ln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93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Education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&amp; Product Spending Response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24759405074366"/>
          <c:y val="5.0925925925925923E-2"/>
          <c:w val="0.73324671916010498"/>
          <c:h val="0.7208610382035578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TABLES'!$B$17</c:f>
              <c:strCache>
                <c:ptCount val="1"/>
                <c:pt idx="0">
                  <c:v>Sum of MntWines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TABLES'!$A$18:$A$23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'PIVOT TABLES'!$B$18:$B$23</c:f>
              <c:numCache>
                <c:formatCode>General</c:formatCode>
                <c:ptCount val="5"/>
                <c:pt idx="0">
                  <c:v>40231</c:v>
                </c:pt>
                <c:pt idx="1">
                  <c:v>391</c:v>
                </c:pt>
                <c:pt idx="2">
                  <c:v>320371</c:v>
                </c:pt>
                <c:pt idx="3">
                  <c:v>123238</c:v>
                </c:pt>
                <c:pt idx="4">
                  <c:v>196585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A-4E3F-869D-13A62E63761B}"/>
            </c:ext>
          </c:extLst>
        </c:ser>
        <c:ser>
          <c:idx val="1"/>
          <c:order val="1"/>
          <c:tx>
            <c:strRef>
              <c:f>'PIVOT TABLES'!$C$17</c:f>
              <c:strCache>
                <c:ptCount val="1"/>
                <c:pt idx="0">
                  <c:v>Sum of MntFruits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TABLES'!$A$18:$A$23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'PIVOT TABLES'!$C$18:$C$23</c:f>
              <c:numCache>
                <c:formatCode>General</c:formatCode>
                <c:ptCount val="5"/>
                <c:pt idx="0">
                  <c:v>5878</c:v>
                </c:pt>
                <c:pt idx="1">
                  <c:v>600</c:v>
                </c:pt>
                <c:pt idx="2">
                  <c:v>34683</c:v>
                </c:pt>
                <c:pt idx="3">
                  <c:v>8012</c:v>
                </c:pt>
                <c:pt idx="4">
                  <c:v>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A-4E3F-869D-13A62E63761B}"/>
            </c:ext>
          </c:extLst>
        </c:ser>
        <c:ser>
          <c:idx val="2"/>
          <c:order val="2"/>
          <c:tx>
            <c:strRef>
              <c:f>'PIVOT TABLES'!$D$17</c:f>
              <c:strCache>
                <c:ptCount val="1"/>
                <c:pt idx="0">
                  <c:v>Sum of MntMeatProducts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TABLES'!$A$18:$A$23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'PIVOT TABLES'!$D$18:$D$23</c:f>
              <c:numCache>
                <c:formatCode>General</c:formatCode>
                <c:ptCount val="5"/>
                <c:pt idx="0">
                  <c:v>28675</c:v>
                </c:pt>
                <c:pt idx="1">
                  <c:v>618</c:v>
                </c:pt>
                <c:pt idx="2">
                  <c:v>202284</c:v>
                </c:pt>
                <c:pt idx="3">
                  <c:v>60450</c:v>
                </c:pt>
                <c:pt idx="4">
                  <c:v>81941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A-4E3F-869D-13A62E63761B}"/>
            </c:ext>
          </c:extLst>
        </c:ser>
        <c:ser>
          <c:idx val="3"/>
          <c:order val="3"/>
          <c:tx>
            <c:strRef>
              <c:f>'PIVOT TABLES'!$E$17</c:f>
              <c:strCache>
                <c:ptCount val="1"/>
                <c:pt idx="0">
                  <c:v>Sum of MntFishProducts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TABLES'!$A$18:$A$23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'PIVOT TABLES'!$E$18:$E$23</c:f>
              <c:numCache>
                <c:formatCode>General</c:formatCode>
                <c:ptCount val="5"/>
                <c:pt idx="0">
                  <c:v>9639</c:v>
                </c:pt>
                <c:pt idx="1">
                  <c:v>921</c:v>
                </c:pt>
                <c:pt idx="2">
                  <c:v>48630</c:v>
                </c:pt>
                <c:pt idx="3">
                  <c:v>11877</c:v>
                </c:pt>
                <c:pt idx="4">
                  <c:v>12990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4A-4E3F-869D-13A62E63761B}"/>
            </c:ext>
          </c:extLst>
        </c:ser>
        <c:ser>
          <c:idx val="4"/>
          <c:order val="4"/>
          <c:tx>
            <c:strRef>
              <c:f>'PIVOT TABLES'!$F$17</c:f>
              <c:strCache>
                <c:ptCount val="1"/>
                <c:pt idx="0">
                  <c:v>Sum of MntSweetProducts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TABLES'!$A$18:$A$23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'PIVOT TABLES'!$F$18:$F$23</c:f>
              <c:numCache>
                <c:formatCode>General</c:formatCode>
                <c:ptCount val="5"/>
                <c:pt idx="0">
                  <c:v>6953</c:v>
                </c:pt>
                <c:pt idx="1">
                  <c:v>654</c:v>
                </c:pt>
                <c:pt idx="2">
                  <c:v>35351</c:v>
                </c:pt>
                <c:pt idx="3">
                  <c:v>7835</c:v>
                </c:pt>
                <c:pt idx="4">
                  <c:v>9828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A-4E3F-869D-13A62E63761B}"/>
            </c:ext>
          </c:extLst>
        </c:ser>
        <c:ser>
          <c:idx val="5"/>
          <c:order val="5"/>
          <c:tx>
            <c:strRef>
              <c:f>'PIVOT TABLES'!$G$17</c:f>
              <c:strCache>
                <c:ptCount val="1"/>
                <c:pt idx="0">
                  <c:v>Sum of MntGoldProds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TABLES'!$A$18:$A$23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'PIVOT TABLES'!$G$18:$G$23</c:f>
              <c:numCache>
                <c:formatCode>General</c:formatCode>
                <c:ptCount val="5"/>
                <c:pt idx="0">
                  <c:v>9419</c:v>
                </c:pt>
                <c:pt idx="1">
                  <c:v>1233</c:v>
                </c:pt>
                <c:pt idx="2">
                  <c:v>57307</c:v>
                </c:pt>
                <c:pt idx="3">
                  <c:v>14947</c:v>
                </c:pt>
                <c:pt idx="4">
                  <c:v>15703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4A-4E3F-869D-13A62E637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65013056"/>
        <c:axId val="1755084528"/>
        <c:axId val="0"/>
      </c:bar3DChart>
      <c:catAx>
        <c:axId val="19650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84528"/>
        <c:crosses val="autoZero"/>
        <c:auto val="1"/>
        <c:lblAlgn val="ctr"/>
        <c:lblOffset val="100"/>
        <c:noMultiLvlLbl val="0"/>
      </c:catAx>
      <c:valAx>
        <c:axId val="17550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0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049431321084867"/>
          <c:y val="0.26562335958005251"/>
          <c:w val="0.13283902012248469"/>
          <c:h val="0.46875328083989504"/>
        </c:manualLayout>
      </c:layout>
      <c:overlay val="0"/>
      <c:spPr>
        <a:solidFill>
          <a:schemeClr val="lt1"/>
        </a:solidFill>
        <a:ln w="25400" cap="flat" cmpd="sng" algn="ctr">
          <a:solidFill>
            <a:schemeClr val="tx1">
              <a:lumMod val="95000"/>
              <a:lumOff val="5000"/>
            </a:schemeClr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0</xdr:row>
      <xdr:rowOff>83820</xdr:rowOff>
    </xdr:from>
    <xdr:to>
      <xdr:col>7</xdr:col>
      <xdr:colOff>121920</xdr:colOff>
      <xdr:row>13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83CE8-487D-D319-5EAC-4BA4E8F0B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160020</xdr:colOff>
      <xdr:row>10</xdr:row>
      <xdr:rowOff>150091</xdr:rowOff>
    </xdr:from>
    <xdr:to>
      <xdr:col>23</xdr:col>
      <xdr:colOff>548640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C389BF-AFCF-1B15-F67F-F4F426B15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 Ugwuanyi" refreshedDate="46246.23938136574" createdVersion="8" refreshedVersion="8" minRefreshableVersion="3" recordCount="2240" xr:uid="{F652F39D-FC25-423F-B354-309C7CC35FAD}">
  <cacheSource type="worksheet">
    <worksheetSource ref="A1:AC2241" sheet="CLEANED DATA"/>
  </cacheSource>
  <cacheFields count="29">
    <cacheField name="ID" numFmtId="0">
      <sharedItems containsSemiMixedTypes="0" containsString="0" containsNumber="1" containsInteger="1" minValue="0" maxValue="11191"/>
    </cacheField>
    <cacheField name="Year_Birth" numFmtId="0">
      <sharedItems containsString="0" containsBlank="1" containsNumber="1" containsInteger="1" minValue="1899" maxValue="1996"/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/>
    </cacheField>
    <cacheField name="Income" numFmtId="0">
      <sharedItems containsSemiMixedTypes="0" containsString="0" containsNumb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 count="2">
        <n v="0"/>
        <n v="1"/>
      </sharedItems>
    </cacheField>
    <cacheField name="AcceptedCmp4" numFmtId="0">
      <sharedItems containsSemiMixedTypes="0" containsString="0" containsNumber="1" containsInteger="1" minValue="0" maxValue="1" count="2">
        <n v="0"/>
        <n v="1"/>
      </sharedItems>
    </cacheField>
    <cacheField name="AcceptedCmp5" numFmtId="0">
      <sharedItems containsSemiMixedTypes="0" containsString="0" containsNumber="1" containsInteger="1" minValue="0" maxValue="1" count="2">
        <n v="0"/>
        <n v="1"/>
      </sharedItems>
    </cacheField>
    <cacheField name="AcceptedCmp1" numFmtId="0">
      <sharedItems containsSemiMixedTypes="0" containsString="0" containsNumber="1" containsInteger="1" minValue="0" maxValue="1" count="2">
        <n v="0"/>
        <n v="1"/>
      </sharedItems>
    </cacheField>
    <cacheField name="AcceptedCmp2" numFmtId="0">
      <sharedItems containsSemiMixedTypes="0" containsString="0" containsNumber="1" containsInteger="1" minValue="0" maxValue="1" count="2">
        <n v="0"/>
        <n v="1"/>
      </sharedItems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x v="0"/>
    <s v="Single"/>
    <n v="58138"/>
    <n v="0"/>
    <n v="0"/>
    <d v="2012-09-04T00:00:00"/>
    <n v="58"/>
    <n v="635"/>
    <n v="88"/>
    <n v="546"/>
    <n v="172"/>
    <n v="88"/>
    <n v="88"/>
    <n v="3"/>
    <n v="8"/>
    <n v="10"/>
    <n v="4"/>
    <n v="7"/>
    <x v="0"/>
    <x v="0"/>
    <x v="0"/>
    <x v="0"/>
    <x v="0"/>
    <n v="0"/>
    <n v="3"/>
    <n v="11"/>
    <x v="0"/>
  </r>
  <r>
    <n v="2174"/>
    <n v="1954"/>
    <x v="0"/>
    <s v="Single"/>
    <n v="46344"/>
    <n v="1"/>
    <n v="1"/>
    <d v="2014-03-08T00:00:00"/>
    <n v="38"/>
    <n v="11"/>
    <n v="1"/>
    <n v="6"/>
    <n v="2"/>
    <n v="1"/>
    <n v="6"/>
    <n v="2"/>
    <n v="1"/>
    <n v="1"/>
    <n v="2"/>
    <n v="5"/>
    <x v="0"/>
    <x v="0"/>
    <x v="0"/>
    <x v="0"/>
    <x v="0"/>
    <n v="0"/>
    <n v="3"/>
    <n v="11"/>
    <x v="1"/>
  </r>
  <r>
    <n v="4141"/>
    <n v="1965"/>
    <x v="0"/>
    <s v="Together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x v="0"/>
    <x v="0"/>
    <x v="0"/>
    <x v="0"/>
    <x v="0"/>
    <n v="0"/>
    <n v="3"/>
    <n v="11"/>
    <x v="1"/>
  </r>
  <r>
    <n v="6182"/>
    <n v="1984"/>
    <x v="0"/>
    <s v="Together"/>
    <n v="26646"/>
    <n v="1"/>
    <n v="0"/>
    <d v="2014-02-10T00:00:00"/>
    <n v="26"/>
    <n v="11"/>
    <n v="4"/>
    <n v="20"/>
    <n v="10"/>
    <n v="3"/>
    <n v="5"/>
    <n v="2"/>
    <n v="2"/>
    <n v="0"/>
    <n v="4"/>
    <n v="6"/>
    <x v="0"/>
    <x v="0"/>
    <x v="0"/>
    <x v="0"/>
    <x v="0"/>
    <n v="0"/>
    <n v="3"/>
    <n v="11"/>
    <x v="1"/>
  </r>
  <r>
    <n v="5324"/>
    <n v="1981"/>
    <x v="1"/>
    <s v="Married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x v="0"/>
    <x v="0"/>
    <x v="0"/>
    <x v="0"/>
    <x v="0"/>
    <n v="0"/>
    <n v="3"/>
    <n v="11"/>
    <x v="1"/>
  </r>
  <r>
    <n v="7446"/>
    <n v="1967"/>
    <x v="2"/>
    <s v="Together"/>
    <n v="62513"/>
    <n v="0"/>
    <n v="1"/>
    <d v="2013-09-09T00:00:00"/>
    <n v="16"/>
    <n v="520"/>
    <n v="42"/>
    <n v="98"/>
    <n v="0"/>
    <n v="42"/>
    <n v="14"/>
    <n v="2"/>
    <n v="6"/>
    <n v="4"/>
    <n v="10"/>
    <n v="6"/>
    <x v="0"/>
    <x v="0"/>
    <x v="0"/>
    <x v="0"/>
    <x v="0"/>
    <n v="0"/>
    <n v="3"/>
    <n v="11"/>
    <x v="1"/>
  </r>
  <r>
    <n v="965"/>
    <n v="1971"/>
    <x v="0"/>
    <s v="Divorced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x v="0"/>
    <x v="0"/>
    <x v="0"/>
    <x v="0"/>
    <x v="0"/>
    <n v="0"/>
    <n v="3"/>
    <n v="11"/>
    <x v="1"/>
  </r>
  <r>
    <n v="6177"/>
    <n v="1985"/>
    <x v="1"/>
    <s v="Married"/>
    <n v="33454"/>
    <n v="1"/>
    <n v="0"/>
    <d v="2013-05-08T00:00:00"/>
    <n v="32"/>
    <n v="76"/>
    <n v="10"/>
    <n v="56"/>
    <n v="3"/>
    <n v="1"/>
    <n v="23"/>
    <n v="2"/>
    <n v="4"/>
    <n v="0"/>
    <n v="4"/>
    <n v="8"/>
    <x v="0"/>
    <x v="0"/>
    <x v="0"/>
    <x v="0"/>
    <x v="0"/>
    <n v="0"/>
    <n v="3"/>
    <n v="11"/>
    <x v="1"/>
  </r>
  <r>
    <n v="4855"/>
    <n v="1974"/>
    <x v="1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x v="0"/>
    <x v="0"/>
    <x v="0"/>
    <x v="0"/>
    <x v="0"/>
    <n v="0"/>
    <n v="3"/>
    <n v="11"/>
    <x v="0"/>
  </r>
  <r>
    <n v="5899"/>
    <n v="1950"/>
    <x v="1"/>
    <s v="Together"/>
    <n v="5648"/>
    <n v="1"/>
    <n v="1"/>
    <d v="2014-03-13T00:00:00"/>
    <n v="68"/>
    <n v="28"/>
    <n v="0"/>
    <n v="6"/>
    <n v="1"/>
    <n v="1"/>
    <n v="13"/>
    <n v="1"/>
    <n v="1"/>
    <n v="0"/>
    <n v="0"/>
    <n v="20"/>
    <x v="1"/>
    <x v="0"/>
    <x v="0"/>
    <x v="0"/>
    <x v="0"/>
    <n v="0"/>
    <n v="3"/>
    <n v="11"/>
    <x v="1"/>
  </r>
  <r>
    <n v="1994"/>
    <n v="1983"/>
    <x v="0"/>
    <s v="Married"/>
    <n v="51381.5"/>
    <n v="1"/>
    <n v="0"/>
    <d v="2013-11-15T00:00:00"/>
    <n v="11"/>
    <n v="5"/>
    <n v="5"/>
    <n v="6"/>
    <n v="0"/>
    <n v="2"/>
    <n v="1"/>
    <n v="1"/>
    <n v="1"/>
    <n v="0"/>
    <n v="2"/>
    <n v="7"/>
    <x v="0"/>
    <x v="0"/>
    <x v="0"/>
    <x v="0"/>
    <x v="0"/>
    <n v="0"/>
    <n v="3"/>
    <n v="11"/>
    <x v="1"/>
  </r>
  <r>
    <n v="387"/>
    <n v="1976"/>
    <x v="3"/>
    <s v="Married"/>
    <n v="7500"/>
    <n v="0"/>
    <n v="0"/>
    <d v="2012-11-13T00:00:00"/>
    <n v="59"/>
    <n v="6"/>
    <n v="16"/>
    <n v="11"/>
    <n v="11"/>
    <n v="1"/>
    <n v="16"/>
    <n v="1"/>
    <n v="2"/>
    <n v="0"/>
    <n v="3"/>
    <n v="8"/>
    <x v="0"/>
    <x v="0"/>
    <x v="0"/>
    <x v="0"/>
    <x v="0"/>
    <n v="0"/>
    <n v="3"/>
    <n v="11"/>
    <x v="1"/>
  </r>
  <r>
    <n v="2125"/>
    <n v="1959"/>
    <x v="0"/>
    <s v="Divorced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x v="0"/>
    <x v="0"/>
    <x v="0"/>
    <x v="0"/>
    <x v="0"/>
    <n v="0"/>
    <n v="3"/>
    <n v="11"/>
    <x v="1"/>
  </r>
  <r>
    <n v="8180"/>
    <n v="1952"/>
    <x v="2"/>
    <s v="Divorced"/>
    <n v="59354"/>
    <n v="1"/>
    <n v="1"/>
    <d v="2013-11-15T00:00:00"/>
    <n v="53"/>
    <n v="233"/>
    <n v="2"/>
    <n v="53"/>
    <n v="3"/>
    <n v="5"/>
    <n v="14"/>
    <n v="3"/>
    <n v="6"/>
    <n v="1"/>
    <n v="5"/>
    <n v="6"/>
    <x v="0"/>
    <x v="0"/>
    <x v="0"/>
    <x v="0"/>
    <x v="0"/>
    <n v="0"/>
    <n v="3"/>
    <n v="11"/>
    <x v="1"/>
  </r>
  <r>
    <n v="2569"/>
    <n v="1987"/>
    <x v="0"/>
    <s v="Married"/>
    <n v="17323"/>
    <n v="0"/>
    <n v="0"/>
    <d v="2012-10-10T00:00:00"/>
    <n v="38"/>
    <n v="3"/>
    <n v="14"/>
    <n v="17"/>
    <n v="6"/>
    <n v="1"/>
    <n v="5"/>
    <n v="1"/>
    <n v="1"/>
    <n v="0"/>
    <n v="3"/>
    <n v="8"/>
    <x v="0"/>
    <x v="0"/>
    <x v="0"/>
    <x v="0"/>
    <x v="0"/>
    <n v="0"/>
    <n v="3"/>
    <n v="11"/>
    <x v="1"/>
  </r>
  <r>
    <n v="2114"/>
    <n v="1946"/>
    <x v="1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x v="0"/>
    <x v="0"/>
    <x v="1"/>
    <x v="1"/>
    <x v="0"/>
    <n v="0"/>
    <n v="3"/>
    <n v="11"/>
    <x v="0"/>
  </r>
  <r>
    <n v="9736"/>
    <n v="1980"/>
    <x v="0"/>
    <s v="Married"/>
    <n v="41850"/>
    <n v="1"/>
    <n v="1"/>
    <d v="2012-12-24T00:00:00"/>
    <n v="51"/>
    <n v="53"/>
    <n v="5"/>
    <n v="19"/>
    <n v="2"/>
    <n v="13"/>
    <n v="4"/>
    <n v="3"/>
    <n v="3"/>
    <n v="0"/>
    <n v="3"/>
    <n v="8"/>
    <x v="0"/>
    <x v="0"/>
    <x v="0"/>
    <x v="0"/>
    <x v="0"/>
    <n v="0"/>
    <n v="3"/>
    <n v="11"/>
    <x v="1"/>
  </r>
  <r>
    <n v="4939"/>
    <n v="1946"/>
    <x v="0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x v="0"/>
    <x v="0"/>
    <x v="0"/>
    <x v="0"/>
    <x v="0"/>
    <n v="0"/>
    <n v="3"/>
    <n v="11"/>
    <x v="1"/>
  </r>
  <r>
    <n v="6565"/>
    <n v="1949"/>
    <x v="2"/>
    <s v="Married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x v="0"/>
    <x v="0"/>
    <x v="0"/>
    <x v="1"/>
    <x v="0"/>
    <n v="0"/>
    <n v="3"/>
    <n v="11"/>
    <x v="1"/>
  </r>
  <r>
    <n v="2278"/>
    <n v="1985"/>
    <x v="4"/>
    <s v="Single"/>
    <n v="33812"/>
    <n v="1"/>
    <n v="0"/>
    <d v="2012-11-03T00:00:00"/>
    <n v="86"/>
    <n v="4"/>
    <n v="17"/>
    <n v="19"/>
    <n v="30"/>
    <n v="24"/>
    <n v="39"/>
    <n v="2"/>
    <n v="2"/>
    <n v="1"/>
    <n v="3"/>
    <n v="6"/>
    <x v="0"/>
    <x v="0"/>
    <x v="0"/>
    <x v="0"/>
    <x v="0"/>
    <n v="0"/>
    <n v="3"/>
    <n v="11"/>
    <x v="1"/>
  </r>
  <r>
    <n v="9360"/>
    <n v="1982"/>
    <x v="0"/>
    <s v="Married"/>
    <n v="37040"/>
    <n v="0"/>
    <n v="0"/>
    <d v="2012-08-08T00:00:00"/>
    <n v="41"/>
    <n v="86"/>
    <n v="2"/>
    <n v="73"/>
    <n v="69"/>
    <n v="38"/>
    <n v="48"/>
    <n v="1"/>
    <n v="4"/>
    <n v="2"/>
    <n v="5"/>
    <n v="8"/>
    <x v="0"/>
    <x v="0"/>
    <x v="0"/>
    <x v="0"/>
    <x v="0"/>
    <n v="0"/>
    <n v="3"/>
    <n v="11"/>
    <x v="1"/>
  </r>
  <r>
    <n v="5376"/>
    <n v="1979"/>
    <x v="0"/>
    <s v="Married"/>
    <n v="2447"/>
    <n v="1"/>
    <n v="0"/>
    <d v="2013-01-06T00:00:00"/>
    <n v="42"/>
    <n v="1"/>
    <n v="1"/>
    <n v="1725"/>
    <n v="1"/>
    <n v="1"/>
    <n v="1"/>
    <n v="15"/>
    <n v="0"/>
    <n v="28"/>
    <n v="0"/>
    <n v="1"/>
    <x v="0"/>
    <x v="0"/>
    <x v="0"/>
    <x v="0"/>
    <x v="0"/>
    <n v="0"/>
    <n v="3"/>
    <n v="11"/>
    <x v="1"/>
  </r>
  <r>
    <n v="1993"/>
    <n v="1949"/>
    <x v="1"/>
    <s v="Married"/>
    <n v="58607"/>
    <n v="0"/>
    <n v="1"/>
    <d v="2012-12-23T00:00:00"/>
    <n v="63"/>
    <n v="867"/>
    <n v="0"/>
    <n v="86"/>
    <n v="0"/>
    <n v="0"/>
    <n v="19"/>
    <n v="3"/>
    <n v="2"/>
    <n v="3"/>
    <n v="9"/>
    <n v="8"/>
    <x v="0"/>
    <x v="1"/>
    <x v="0"/>
    <x v="0"/>
    <x v="0"/>
    <n v="0"/>
    <n v="3"/>
    <n v="11"/>
    <x v="1"/>
  </r>
  <r>
    <n v="4047"/>
    <n v="1954"/>
    <x v="1"/>
    <s v="Married"/>
    <n v="65324"/>
    <n v="0"/>
    <n v="1"/>
    <d v="2014-01-11T00:00:00"/>
    <n v="0"/>
    <n v="384"/>
    <n v="0"/>
    <n v="102"/>
    <n v="21"/>
    <n v="32"/>
    <n v="5"/>
    <n v="3"/>
    <n v="6"/>
    <n v="2"/>
    <n v="9"/>
    <n v="4"/>
    <x v="0"/>
    <x v="0"/>
    <x v="0"/>
    <x v="0"/>
    <x v="0"/>
    <n v="0"/>
    <n v="3"/>
    <n v="11"/>
    <x v="1"/>
  </r>
  <r>
    <n v="1409"/>
    <n v="1951"/>
    <x v="0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x v="0"/>
    <x v="0"/>
    <x v="0"/>
    <x v="0"/>
    <x v="0"/>
    <n v="0"/>
    <n v="3"/>
    <n v="11"/>
    <x v="1"/>
  </r>
  <r>
    <n v="7892"/>
    <n v="1969"/>
    <x v="0"/>
    <s v="Single"/>
    <n v="18589"/>
    <n v="0"/>
    <n v="0"/>
    <d v="2013-01-02T00:00:00"/>
    <n v="89"/>
    <n v="6"/>
    <n v="4"/>
    <n v="25"/>
    <n v="15"/>
    <n v="12"/>
    <n v="13"/>
    <n v="2"/>
    <n v="2"/>
    <n v="1"/>
    <n v="3"/>
    <n v="7"/>
    <x v="0"/>
    <x v="0"/>
    <x v="0"/>
    <x v="0"/>
    <x v="0"/>
    <n v="0"/>
    <n v="3"/>
    <n v="11"/>
    <x v="1"/>
  </r>
  <r>
    <n v="2404"/>
    <n v="1976"/>
    <x v="0"/>
    <s v="Married"/>
    <n v="53359"/>
    <n v="1"/>
    <n v="1"/>
    <d v="2013-05-27T00:00:00"/>
    <n v="4"/>
    <n v="173"/>
    <n v="4"/>
    <n v="30"/>
    <n v="3"/>
    <n v="6"/>
    <n v="41"/>
    <n v="4"/>
    <n v="5"/>
    <n v="1"/>
    <n v="4"/>
    <n v="7"/>
    <x v="0"/>
    <x v="0"/>
    <x v="0"/>
    <x v="0"/>
    <x v="0"/>
    <n v="0"/>
    <n v="3"/>
    <n v="11"/>
    <x v="1"/>
  </r>
  <r>
    <n v="5255"/>
    <n v="1986"/>
    <x v="0"/>
    <s v="Single"/>
    <n v="51381.5"/>
    <n v="1"/>
    <n v="0"/>
    <d v="2013-02-20T00:00:00"/>
    <n v="19"/>
    <n v="5"/>
    <n v="1"/>
    <n v="3"/>
    <n v="3"/>
    <n v="263"/>
    <n v="362"/>
    <n v="0"/>
    <n v="27"/>
    <n v="0"/>
    <n v="0"/>
    <n v="1"/>
    <x v="0"/>
    <x v="0"/>
    <x v="0"/>
    <x v="0"/>
    <x v="0"/>
    <n v="0"/>
    <n v="3"/>
    <n v="11"/>
    <x v="1"/>
  </r>
  <r>
    <n v="9422"/>
    <n v="1989"/>
    <x v="0"/>
    <s v="Married"/>
    <n v="38360"/>
    <n v="1"/>
    <n v="0"/>
    <d v="2013-05-31T00:00:00"/>
    <n v="26"/>
    <n v="36"/>
    <n v="2"/>
    <n v="42"/>
    <n v="20"/>
    <n v="21"/>
    <n v="10"/>
    <n v="2"/>
    <n v="2"/>
    <n v="1"/>
    <n v="4"/>
    <n v="3"/>
    <x v="0"/>
    <x v="0"/>
    <x v="0"/>
    <x v="0"/>
    <x v="0"/>
    <n v="0"/>
    <n v="3"/>
    <n v="11"/>
    <x v="1"/>
  </r>
  <r>
    <n v="1966"/>
    <n v="1965"/>
    <x v="1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x v="0"/>
    <x v="0"/>
    <x v="1"/>
    <x v="0"/>
    <x v="0"/>
    <n v="0"/>
    <n v="3"/>
    <n v="11"/>
    <x v="1"/>
  </r>
  <r>
    <n v="6864"/>
    <n v="1989"/>
    <x v="2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x v="0"/>
    <x v="0"/>
    <x v="0"/>
    <x v="0"/>
    <x v="0"/>
    <n v="0"/>
    <n v="3"/>
    <n v="11"/>
    <x v="1"/>
  </r>
  <r>
    <n v="3033"/>
    <n v="1963"/>
    <x v="2"/>
    <s v="Together"/>
    <n v="38620"/>
    <n v="0"/>
    <n v="0"/>
    <d v="2013-05-11T00:00:00"/>
    <n v="56"/>
    <n v="112"/>
    <n v="17"/>
    <n v="44"/>
    <n v="34"/>
    <n v="22"/>
    <n v="89"/>
    <n v="1"/>
    <n v="2"/>
    <n v="5"/>
    <n v="3"/>
    <n v="3"/>
    <x v="0"/>
    <x v="0"/>
    <x v="0"/>
    <x v="0"/>
    <x v="0"/>
    <n v="0"/>
    <n v="3"/>
    <n v="11"/>
    <x v="1"/>
  </r>
  <r>
    <n v="5710"/>
    <n v="1970"/>
    <x v="0"/>
    <s v="Together"/>
    <n v="40548"/>
    <n v="0"/>
    <n v="1"/>
    <d v="2012-10-10T00:00:00"/>
    <n v="31"/>
    <n v="110"/>
    <n v="0"/>
    <n v="5"/>
    <n v="2"/>
    <n v="0"/>
    <n v="3"/>
    <n v="2"/>
    <n v="2"/>
    <n v="1"/>
    <n v="4"/>
    <n v="5"/>
    <x v="0"/>
    <x v="1"/>
    <x v="0"/>
    <x v="0"/>
    <x v="0"/>
    <n v="0"/>
    <n v="3"/>
    <n v="11"/>
    <x v="1"/>
  </r>
  <r>
    <n v="7373"/>
    <n v="1952"/>
    <x v="1"/>
    <s v="Divorced"/>
    <n v="46610"/>
    <n v="0"/>
    <n v="2"/>
    <d v="2012-10-29T00:00:00"/>
    <n v="8"/>
    <n v="96"/>
    <n v="12"/>
    <n v="96"/>
    <n v="33"/>
    <n v="22"/>
    <n v="43"/>
    <n v="6"/>
    <n v="4"/>
    <n v="1"/>
    <n v="6"/>
    <n v="6"/>
    <x v="0"/>
    <x v="0"/>
    <x v="0"/>
    <x v="0"/>
    <x v="0"/>
    <n v="0"/>
    <n v="3"/>
    <n v="11"/>
    <x v="0"/>
  </r>
  <r>
    <n v="8755"/>
    <n v="1946"/>
    <x v="2"/>
    <s v="Married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x v="0"/>
    <x v="0"/>
    <x v="0"/>
    <x v="0"/>
    <x v="0"/>
    <n v="0"/>
    <n v="3"/>
    <n v="11"/>
    <x v="1"/>
  </r>
  <r>
    <n v="10738"/>
    <n v="1951"/>
    <x v="2"/>
    <s v="Single"/>
    <n v="49389"/>
    <n v="1"/>
    <n v="1"/>
    <d v="2013-08-29T00:00:00"/>
    <n v="55"/>
    <n v="40"/>
    <n v="0"/>
    <n v="19"/>
    <n v="2"/>
    <n v="1"/>
    <n v="3"/>
    <n v="1"/>
    <n v="2"/>
    <n v="0"/>
    <n v="3"/>
    <n v="7"/>
    <x v="0"/>
    <x v="0"/>
    <x v="0"/>
    <x v="0"/>
    <x v="0"/>
    <n v="0"/>
    <n v="3"/>
    <n v="11"/>
    <x v="1"/>
  </r>
  <r>
    <n v="4339"/>
    <n v="1970"/>
    <x v="1"/>
    <s v="Married"/>
    <n v="67353"/>
    <n v="0"/>
    <n v="1"/>
    <d v="2013-12-31T00:00:00"/>
    <n v="37"/>
    <n v="702"/>
    <n v="17"/>
    <n v="151"/>
    <n v="0"/>
    <n v="8"/>
    <n v="35"/>
    <n v="5"/>
    <n v="5"/>
    <n v="6"/>
    <n v="12"/>
    <n v="2"/>
    <x v="0"/>
    <x v="0"/>
    <x v="0"/>
    <x v="0"/>
    <x v="0"/>
    <n v="0"/>
    <n v="3"/>
    <n v="11"/>
    <x v="1"/>
  </r>
  <r>
    <n v="10755"/>
    <n v="1976"/>
    <x v="4"/>
    <s v="Married"/>
    <n v="23718"/>
    <n v="1"/>
    <n v="0"/>
    <d v="2013-09-02T00:00:00"/>
    <n v="76"/>
    <n v="6"/>
    <n v="3"/>
    <n v="14"/>
    <n v="15"/>
    <n v="7"/>
    <n v="36"/>
    <n v="3"/>
    <n v="3"/>
    <n v="1"/>
    <n v="2"/>
    <n v="7"/>
    <x v="0"/>
    <x v="0"/>
    <x v="0"/>
    <x v="0"/>
    <x v="0"/>
    <n v="0"/>
    <n v="3"/>
    <n v="11"/>
    <x v="1"/>
  </r>
  <r>
    <n v="8595"/>
    <n v="1973"/>
    <x v="0"/>
    <s v="Widow"/>
    <n v="42429"/>
    <n v="0"/>
    <n v="1"/>
    <d v="2014-02-11T00:00:00"/>
    <n v="99"/>
    <n v="55"/>
    <n v="0"/>
    <n v="6"/>
    <n v="2"/>
    <n v="0"/>
    <n v="4"/>
    <n v="2"/>
    <n v="1"/>
    <n v="1"/>
    <n v="3"/>
    <n v="5"/>
    <x v="0"/>
    <x v="0"/>
    <x v="0"/>
    <x v="0"/>
    <x v="0"/>
    <n v="0"/>
    <n v="3"/>
    <n v="11"/>
    <x v="1"/>
  </r>
  <r>
    <n v="2968"/>
    <n v="1943"/>
    <x v="1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x v="1"/>
    <x v="0"/>
    <x v="0"/>
    <x v="0"/>
    <x v="0"/>
    <n v="0"/>
    <n v="3"/>
    <n v="11"/>
    <x v="0"/>
  </r>
  <r>
    <n v="8601"/>
    <n v="1980"/>
    <x v="0"/>
    <s v="Married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x v="0"/>
    <x v="0"/>
    <x v="0"/>
    <x v="0"/>
    <x v="0"/>
    <n v="0"/>
    <n v="3"/>
    <n v="11"/>
    <x v="1"/>
  </r>
  <r>
    <n v="503"/>
    <n v="1985"/>
    <x v="2"/>
    <s v="Married"/>
    <n v="20559"/>
    <n v="1"/>
    <n v="0"/>
    <d v="2013-03-12T00:00:00"/>
    <n v="88"/>
    <n v="13"/>
    <n v="1"/>
    <n v="29"/>
    <n v="3"/>
    <n v="0"/>
    <n v="7"/>
    <n v="2"/>
    <n v="2"/>
    <n v="0"/>
    <n v="3"/>
    <n v="8"/>
    <x v="0"/>
    <x v="0"/>
    <x v="0"/>
    <x v="0"/>
    <x v="0"/>
    <n v="0"/>
    <n v="3"/>
    <n v="11"/>
    <x v="1"/>
  </r>
  <r>
    <n v="8430"/>
    <n v="1957"/>
    <x v="0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x v="0"/>
    <x v="0"/>
    <x v="0"/>
    <x v="0"/>
    <x v="0"/>
    <n v="0"/>
    <n v="3"/>
    <n v="11"/>
    <x v="1"/>
  </r>
  <r>
    <n v="7281"/>
    <n v="1959"/>
    <x v="1"/>
    <s v="Single"/>
    <n v="51381.5"/>
    <n v="0"/>
    <n v="0"/>
    <d v="2013-11-05T00:00:00"/>
    <n v="80"/>
    <n v="81"/>
    <n v="11"/>
    <n v="50"/>
    <n v="3"/>
    <n v="2"/>
    <n v="39"/>
    <n v="1"/>
    <n v="1"/>
    <n v="3"/>
    <n v="4"/>
    <n v="2"/>
    <x v="0"/>
    <x v="0"/>
    <x v="0"/>
    <x v="0"/>
    <x v="0"/>
    <n v="0"/>
    <n v="3"/>
    <n v="11"/>
    <x v="1"/>
  </r>
  <r>
    <n v="2139"/>
    <n v="1975"/>
    <x v="2"/>
    <s v="Married"/>
    <n v="7500"/>
    <n v="1"/>
    <n v="0"/>
    <d v="2013-10-02T00:00:00"/>
    <n v="19"/>
    <n v="3"/>
    <n v="1"/>
    <n v="10"/>
    <n v="3"/>
    <n v="2"/>
    <n v="12"/>
    <n v="3"/>
    <n v="2"/>
    <n v="0"/>
    <n v="3"/>
    <n v="5"/>
    <x v="0"/>
    <x v="0"/>
    <x v="0"/>
    <x v="0"/>
    <x v="0"/>
    <n v="0"/>
    <n v="3"/>
    <n v="11"/>
    <x v="1"/>
  </r>
  <r>
    <n v="1371"/>
    <n v="1976"/>
    <x v="0"/>
    <s v="Single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x v="0"/>
    <x v="0"/>
    <x v="0"/>
    <x v="0"/>
    <x v="0"/>
    <n v="0"/>
    <n v="3"/>
    <n v="11"/>
    <x v="1"/>
  </r>
  <r>
    <n v="9909"/>
    <n v="1996"/>
    <x v="4"/>
    <s v="Married"/>
    <n v="7500"/>
    <n v="0"/>
    <n v="0"/>
    <d v="2012-11-09T00:00:00"/>
    <n v="24"/>
    <n v="3"/>
    <n v="18"/>
    <n v="14"/>
    <n v="15"/>
    <n v="22"/>
    <n v="50"/>
    <n v="3"/>
    <n v="3"/>
    <n v="1"/>
    <n v="3"/>
    <n v="9"/>
    <x v="0"/>
    <x v="0"/>
    <x v="0"/>
    <x v="0"/>
    <x v="0"/>
    <n v="0"/>
    <n v="3"/>
    <n v="11"/>
    <x v="0"/>
  </r>
  <r>
    <n v="7286"/>
    <n v="1968"/>
    <x v="0"/>
    <s v="Together"/>
    <n v="41728"/>
    <n v="1"/>
    <n v="0"/>
    <d v="2013-05-24T00:00:00"/>
    <n v="92"/>
    <n v="13"/>
    <n v="6"/>
    <n v="15"/>
    <n v="3"/>
    <n v="5"/>
    <n v="13"/>
    <n v="1"/>
    <n v="2"/>
    <n v="0"/>
    <n v="2"/>
    <n v="10"/>
    <x v="0"/>
    <x v="0"/>
    <x v="0"/>
    <x v="0"/>
    <x v="0"/>
    <n v="0"/>
    <n v="3"/>
    <n v="11"/>
    <x v="1"/>
  </r>
  <r>
    <n v="7244"/>
    <n v="1951"/>
    <x v="0"/>
    <s v="Single"/>
    <n v="51381.5"/>
    <n v="2"/>
    <n v="1"/>
    <d v="2014-01-01T00:00:00"/>
    <n v="96"/>
    <n v="48"/>
    <n v="5"/>
    <n v="48"/>
    <n v="6"/>
    <n v="10"/>
    <n v="7"/>
    <n v="3"/>
    <n v="2"/>
    <n v="1"/>
    <n v="4"/>
    <n v="6"/>
    <x v="0"/>
    <x v="0"/>
    <x v="0"/>
    <x v="0"/>
    <x v="0"/>
    <n v="0"/>
    <n v="3"/>
    <n v="11"/>
    <x v="1"/>
  </r>
  <r>
    <n v="6566"/>
    <n v="1954"/>
    <x v="1"/>
    <s v="Married"/>
    <n v="72550"/>
    <n v="1"/>
    <n v="1"/>
    <d v="2012-11-08T00:00:00"/>
    <n v="39"/>
    <n v="826"/>
    <n v="50"/>
    <n v="317"/>
    <n v="50"/>
    <n v="38"/>
    <n v="38"/>
    <n v="9"/>
    <n v="5"/>
    <n v="2"/>
    <n v="12"/>
    <n v="8"/>
    <x v="0"/>
    <x v="0"/>
    <x v="0"/>
    <x v="0"/>
    <x v="0"/>
    <n v="0"/>
    <n v="3"/>
    <n v="11"/>
    <x v="1"/>
  </r>
  <r>
    <n v="8614"/>
    <n v="1957"/>
    <x v="0"/>
    <s v="Widow"/>
    <n v="65486"/>
    <n v="0"/>
    <n v="1"/>
    <d v="2014-05-12T00:00:00"/>
    <n v="29"/>
    <n v="245"/>
    <n v="19"/>
    <n v="125"/>
    <n v="37"/>
    <n v="67"/>
    <n v="14"/>
    <n v="1"/>
    <n v="4"/>
    <n v="2"/>
    <n v="10"/>
    <n v="2"/>
    <x v="0"/>
    <x v="0"/>
    <x v="0"/>
    <x v="0"/>
    <x v="0"/>
    <n v="0"/>
    <n v="3"/>
    <n v="11"/>
    <x v="1"/>
  </r>
  <r>
    <n v="4114"/>
    <n v="1964"/>
    <x v="2"/>
    <s v="Married"/>
    <n v="79143"/>
    <n v="0"/>
    <n v="0"/>
    <d v="2012-08-11T00:00:00"/>
    <n v="2"/>
    <n v="650"/>
    <n v="37"/>
    <n v="780"/>
    <n v="27"/>
    <n v="167"/>
    <n v="32"/>
    <n v="1"/>
    <n v="6"/>
    <n v="9"/>
    <n v="13"/>
    <n v="3"/>
    <x v="0"/>
    <x v="0"/>
    <x v="0"/>
    <x v="0"/>
    <x v="0"/>
    <n v="0"/>
    <n v="3"/>
    <n v="11"/>
    <x v="1"/>
  </r>
  <r>
    <n v="1331"/>
    <n v="1977"/>
    <x v="0"/>
    <s v="Single"/>
    <n v="35790"/>
    <n v="1"/>
    <n v="0"/>
    <d v="2013-01-02T00:00:00"/>
    <n v="54"/>
    <n v="12"/>
    <n v="6"/>
    <n v="20"/>
    <n v="30"/>
    <n v="1"/>
    <n v="3"/>
    <n v="2"/>
    <n v="2"/>
    <n v="0"/>
    <n v="3"/>
    <n v="7"/>
    <x v="0"/>
    <x v="0"/>
    <x v="0"/>
    <x v="0"/>
    <x v="0"/>
    <n v="0"/>
    <n v="3"/>
    <n v="11"/>
    <x v="1"/>
  </r>
  <r>
    <n v="2225"/>
    <n v="1977"/>
    <x v="0"/>
    <s v="Divorced"/>
    <n v="82582"/>
    <n v="0"/>
    <n v="0"/>
    <d v="2014-06-07T00:00:00"/>
    <n v="54"/>
    <n v="510"/>
    <n v="120"/>
    <n v="550"/>
    <n v="156"/>
    <n v="40"/>
    <n v="241"/>
    <n v="1"/>
    <n v="4"/>
    <n v="9"/>
    <n v="7"/>
    <n v="1"/>
    <x v="1"/>
    <x v="0"/>
    <x v="0"/>
    <x v="1"/>
    <x v="0"/>
    <n v="0"/>
    <n v="3"/>
    <n v="11"/>
    <x v="0"/>
  </r>
  <r>
    <n v="9381"/>
    <n v="1978"/>
    <x v="0"/>
    <s v="Married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x v="0"/>
    <x v="0"/>
    <x v="0"/>
    <x v="0"/>
    <x v="0"/>
    <n v="0"/>
    <n v="3"/>
    <n v="11"/>
    <x v="1"/>
  </r>
  <r>
    <n v="6260"/>
    <n v="1955"/>
    <x v="2"/>
    <s v="Together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x v="0"/>
    <x v="0"/>
    <x v="1"/>
    <x v="0"/>
    <x v="0"/>
    <n v="0"/>
    <n v="3"/>
    <n v="11"/>
    <x v="0"/>
  </r>
  <r>
    <n v="10383"/>
    <n v="1966"/>
    <x v="0"/>
    <s v="Divorced"/>
    <n v="70287"/>
    <n v="0"/>
    <n v="0"/>
    <d v="2013-04-02T00:00:00"/>
    <n v="30"/>
    <n v="295"/>
    <n v="35"/>
    <n v="482"/>
    <n v="121"/>
    <n v="120"/>
    <n v="40"/>
    <n v="1"/>
    <n v="5"/>
    <n v="5"/>
    <n v="10"/>
    <n v="3"/>
    <x v="0"/>
    <x v="0"/>
    <x v="0"/>
    <x v="0"/>
    <x v="0"/>
    <n v="0"/>
    <n v="3"/>
    <n v="11"/>
    <x v="0"/>
  </r>
  <r>
    <n v="7437"/>
    <n v="1988"/>
    <x v="0"/>
    <s v="Single"/>
    <n v="27938"/>
    <n v="1"/>
    <n v="0"/>
    <d v="2014-04-28T00:00:00"/>
    <n v="31"/>
    <n v="13"/>
    <n v="0"/>
    <n v="8"/>
    <n v="2"/>
    <n v="1"/>
    <n v="5"/>
    <n v="1"/>
    <n v="1"/>
    <n v="0"/>
    <n v="4"/>
    <n v="3"/>
    <x v="0"/>
    <x v="0"/>
    <x v="0"/>
    <x v="0"/>
    <x v="0"/>
    <n v="0"/>
    <n v="3"/>
    <n v="11"/>
    <x v="1"/>
  </r>
  <r>
    <n v="8557"/>
    <n v="1982"/>
    <x v="0"/>
    <s v="Single"/>
    <n v="51381.5"/>
    <n v="1"/>
    <n v="0"/>
    <d v="2013-06-17T00:00:00"/>
    <n v="57"/>
    <n v="11"/>
    <n v="3"/>
    <n v="22"/>
    <n v="2"/>
    <n v="2"/>
    <n v="6"/>
    <n v="2"/>
    <n v="2"/>
    <n v="0"/>
    <n v="3"/>
    <n v="6"/>
    <x v="0"/>
    <x v="0"/>
    <x v="0"/>
    <x v="0"/>
    <x v="0"/>
    <n v="0"/>
    <n v="3"/>
    <n v="11"/>
    <x v="1"/>
  </r>
  <r>
    <n v="8375"/>
    <n v="1968"/>
    <x v="1"/>
    <s v="Married"/>
    <n v="55954"/>
    <n v="0"/>
    <n v="1"/>
    <d v="2014-03-03T00:00:00"/>
    <n v="63"/>
    <n v="447"/>
    <n v="0"/>
    <n v="28"/>
    <n v="0"/>
    <n v="0"/>
    <n v="43"/>
    <n v="3"/>
    <n v="8"/>
    <n v="2"/>
    <n v="6"/>
    <n v="7"/>
    <x v="0"/>
    <x v="0"/>
    <x v="0"/>
    <x v="0"/>
    <x v="0"/>
    <n v="0"/>
    <n v="3"/>
    <n v="11"/>
    <x v="1"/>
  </r>
  <r>
    <n v="6853"/>
    <n v="1982"/>
    <x v="2"/>
    <s v="Single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x v="0"/>
    <x v="1"/>
    <x v="1"/>
    <x v="0"/>
    <x v="0"/>
    <n v="0"/>
    <n v="3"/>
    <n v="11"/>
    <x v="0"/>
  </r>
  <r>
    <n v="3076"/>
    <n v="1975"/>
    <x v="0"/>
    <s v="Together"/>
    <n v="66653"/>
    <n v="1"/>
    <n v="1"/>
    <d v="2012-09-07T00:00:00"/>
    <n v="18"/>
    <n v="452"/>
    <n v="18"/>
    <n v="102"/>
    <n v="16"/>
    <n v="18"/>
    <n v="6"/>
    <n v="4"/>
    <n v="4"/>
    <n v="2"/>
    <n v="12"/>
    <n v="3"/>
    <x v="0"/>
    <x v="0"/>
    <x v="0"/>
    <x v="0"/>
    <x v="0"/>
    <n v="0"/>
    <n v="3"/>
    <n v="11"/>
    <x v="1"/>
  </r>
  <r>
    <n v="1012"/>
    <n v="1952"/>
    <x v="0"/>
    <s v="Single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x v="0"/>
    <x v="0"/>
    <x v="0"/>
    <x v="0"/>
    <x v="0"/>
    <n v="0"/>
    <n v="3"/>
    <n v="11"/>
    <x v="1"/>
  </r>
  <r>
    <n v="6518"/>
    <n v="1951"/>
    <x v="1"/>
    <s v="Widow"/>
    <n v="67680"/>
    <n v="0"/>
    <n v="1"/>
    <d v="2013-06-11T00:00:00"/>
    <n v="8"/>
    <n v="546"/>
    <n v="0"/>
    <n v="48"/>
    <n v="0"/>
    <n v="6"/>
    <n v="6"/>
    <n v="1"/>
    <n v="7"/>
    <n v="3"/>
    <n v="8"/>
    <n v="5"/>
    <x v="0"/>
    <x v="0"/>
    <x v="0"/>
    <x v="0"/>
    <x v="0"/>
    <n v="0"/>
    <n v="3"/>
    <n v="11"/>
    <x v="1"/>
  </r>
  <r>
    <n v="4137"/>
    <n v="1948"/>
    <x v="0"/>
    <s v="Together"/>
    <n v="70666"/>
    <n v="0"/>
    <n v="0"/>
    <d v="2013-12-06T00:00:00"/>
    <n v="29"/>
    <n v="398"/>
    <n v="40"/>
    <n v="367"/>
    <n v="119"/>
    <n v="122"/>
    <n v="30"/>
    <n v="1"/>
    <n v="7"/>
    <n v="4"/>
    <n v="4"/>
    <n v="4"/>
    <x v="0"/>
    <x v="0"/>
    <x v="0"/>
    <x v="0"/>
    <x v="0"/>
    <n v="0"/>
    <n v="3"/>
    <n v="11"/>
    <x v="1"/>
  </r>
  <r>
    <n v="8082"/>
    <n v="1971"/>
    <x v="0"/>
    <s v="Married"/>
    <n v="25721"/>
    <n v="1"/>
    <n v="0"/>
    <d v="2013-05-21T00:00:00"/>
    <n v="75"/>
    <n v="1"/>
    <n v="3"/>
    <n v="6"/>
    <n v="3"/>
    <n v="6"/>
    <n v="15"/>
    <n v="1"/>
    <n v="1"/>
    <n v="1"/>
    <n v="2"/>
    <n v="7"/>
    <x v="0"/>
    <x v="0"/>
    <x v="0"/>
    <x v="0"/>
    <x v="0"/>
    <n v="0"/>
    <n v="3"/>
    <n v="11"/>
    <x v="0"/>
  </r>
  <r>
    <n v="1386"/>
    <n v="1967"/>
    <x v="0"/>
    <s v="Together"/>
    <n v="32474"/>
    <n v="1"/>
    <n v="1"/>
    <d v="2014-05-11T00:00:00"/>
    <n v="0"/>
    <n v="10"/>
    <n v="0"/>
    <n v="1"/>
    <n v="0"/>
    <n v="0"/>
    <n v="0"/>
    <n v="1"/>
    <n v="1"/>
    <n v="0"/>
    <n v="2"/>
    <n v="7"/>
    <x v="0"/>
    <x v="0"/>
    <x v="0"/>
    <x v="0"/>
    <x v="0"/>
    <n v="0"/>
    <n v="3"/>
    <n v="11"/>
    <x v="1"/>
  </r>
  <r>
    <n v="9369"/>
    <n v="1979"/>
    <x v="4"/>
    <s v="Single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x v="1"/>
    <x v="0"/>
    <x v="0"/>
    <x v="1"/>
    <x v="0"/>
    <n v="0"/>
    <n v="3"/>
    <n v="11"/>
    <x v="0"/>
  </r>
  <r>
    <n v="4477"/>
    <n v="1958"/>
    <x v="0"/>
    <s v="Together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x v="0"/>
    <x v="0"/>
    <x v="0"/>
    <x v="0"/>
    <x v="0"/>
    <n v="0"/>
    <n v="3"/>
    <n v="11"/>
    <x v="1"/>
  </r>
  <r>
    <n v="1357"/>
    <n v="1970"/>
    <x v="0"/>
    <s v="Together"/>
    <n v="74854"/>
    <n v="1"/>
    <n v="2"/>
    <d v="2013-04-08T00:00:00"/>
    <n v="90"/>
    <n v="856"/>
    <n v="59"/>
    <n v="487"/>
    <n v="58"/>
    <n v="29"/>
    <n v="73"/>
    <n v="7"/>
    <n v="2"/>
    <n v="5"/>
    <n v="5"/>
    <n v="5"/>
    <x v="0"/>
    <x v="0"/>
    <x v="0"/>
    <x v="0"/>
    <x v="0"/>
    <n v="0"/>
    <n v="3"/>
    <n v="11"/>
    <x v="1"/>
  </r>
  <r>
    <n v="1402"/>
    <n v="1954"/>
    <x v="2"/>
    <s v="Married"/>
    <n v="66991"/>
    <n v="0"/>
    <n v="0"/>
    <d v="2012-09-11T00:00:00"/>
    <n v="1"/>
    <n v="496"/>
    <n v="36"/>
    <n v="460"/>
    <n v="189"/>
    <n v="60"/>
    <n v="12"/>
    <n v="3"/>
    <n v="4"/>
    <n v="8"/>
    <n v="6"/>
    <n v="3"/>
    <x v="0"/>
    <x v="0"/>
    <x v="0"/>
    <x v="0"/>
    <x v="0"/>
    <n v="0"/>
    <n v="3"/>
    <n v="11"/>
    <x v="1"/>
  </r>
  <r>
    <n v="10629"/>
    <n v="1973"/>
    <x v="4"/>
    <s v="Married"/>
    <n v="51381.5"/>
    <n v="1"/>
    <n v="0"/>
    <d v="2012-09-14T00:00:00"/>
    <n v="25"/>
    <n v="25"/>
    <n v="3"/>
    <n v="43"/>
    <n v="17"/>
    <n v="4"/>
    <n v="17"/>
    <n v="3"/>
    <n v="3"/>
    <n v="0"/>
    <n v="3"/>
    <n v="8"/>
    <x v="0"/>
    <x v="0"/>
    <x v="0"/>
    <x v="0"/>
    <x v="0"/>
    <n v="0"/>
    <n v="3"/>
    <n v="11"/>
    <x v="1"/>
  </r>
  <r>
    <n v="6312"/>
    <n v="1959"/>
    <x v="0"/>
    <s v="Married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x v="0"/>
    <x v="0"/>
    <x v="0"/>
    <x v="0"/>
    <x v="0"/>
    <n v="0"/>
    <n v="3"/>
    <n v="11"/>
    <x v="1"/>
  </r>
  <r>
    <n v="8132"/>
    <n v="1975"/>
    <x v="1"/>
    <s v="Married"/>
    <n v="60631"/>
    <n v="1"/>
    <n v="1"/>
    <d v="2013-04-05T00:00:00"/>
    <n v="88"/>
    <n v="565"/>
    <n v="6"/>
    <n v="65"/>
    <n v="0"/>
    <n v="6"/>
    <n v="19"/>
    <n v="5"/>
    <n v="9"/>
    <n v="2"/>
    <n v="8"/>
    <n v="7"/>
    <x v="0"/>
    <x v="1"/>
    <x v="0"/>
    <x v="0"/>
    <x v="0"/>
    <n v="0"/>
    <n v="3"/>
    <n v="11"/>
    <x v="1"/>
  </r>
  <r>
    <n v="1050"/>
    <n v="1952"/>
    <x v="0"/>
    <s v="Married"/>
    <n v="28332"/>
    <n v="0"/>
    <n v="0"/>
    <d v="2014-04-30T00:00:00"/>
    <n v="58"/>
    <n v="14"/>
    <n v="10"/>
    <n v="13"/>
    <n v="4"/>
    <n v="15"/>
    <n v="9"/>
    <n v="1"/>
    <n v="2"/>
    <n v="1"/>
    <n v="4"/>
    <n v="2"/>
    <x v="0"/>
    <x v="0"/>
    <x v="0"/>
    <x v="0"/>
    <x v="0"/>
    <n v="0"/>
    <n v="3"/>
    <n v="11"/>
    <x v="1"/>
  </r>
  <r>
    <n v="5846"/>
    <n v="1977"/>
    <x v="0"/>
    <s v="Divorced"/>
    <n v="40246"/>
    <n v="1"/>
    <n v="0"/>
    <d v="2012-12-19T00:00:00"/>
    <n v="68"/>
    <n v="2"/>
    <n v="1"/>
    <n v="6"/>
    <n v="2"/>
    <n v="1"/>
    <n v="1"/>
    <n v="1"/>
    <n v="1"/>
    <n v="0"/>
    <n v="2"/>
    <n v="6"/>
    <x v="0"/>
    <x v="0"/>
    <x v="0"/>
    <x v="0"/>
    <x v="0"/>
    <n v="0"/>
    <n v="3"/>
    <n v="11"/>
    <x v="1"/>
  </r>
  <r>
    <n v="1859"/>
    <n v="1972"/>
    <x v="2"/>
    <s v="Married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x v="0"/>
    <x v="0"/>
    <x v="0"/>
    <x v="0"/>
    <x v="0"/>
    <n v="0"/>
    <n v="3"/>
    <n v="11"/>
    <x v="0"/>
  </r>
  <r>
    <n v="7503"/>
    <n v="1976"/>
    <x v="0"/>
    <s v="Single"/>
    <n v="75825"/>
    <n v="0"/>
    <n v="0"/>
    <d v="2012-10-12T00:00:00"/>
    <n v="40"/>
    <n v="1032"/>
    <n v="105"/>
    <n v="779"/>
    <n v="137"/>
    <n v="105"/>
    <n v="51"/>
    <n v="0"/>
    <n v="5"/>
    <n v="8"/>
    <n v="9"/>
    <n v="4"/>
    <x v="1"/>
    <x v="0"/>
    <x v="0"/>
    <x v="0"/>
    <x v="0"/>
    <n v="0"/>
    <n v="3"/>
    <n v="11"/>
    <x v="0"/>
  </r>
  <r>
    <n v="10401"/>
    <n v="1976"/>
    <x v="4"/>
    <s v="Together"/>
    <n v="26326"/>
    <n v="0"/>
    <n v="0"/>
    <d v="2013-09-04T00:00:00"/>
    <n v="12"/>
    <n v="1"/>
    <n v="0"/>
    <n v="5"/>
    <n v="0"/>
    <n v="3"/>
    <n v="9"/>
    <n v="1"/>
    <n v="0"/>
    <n v="0"/>
    <n v="3"/>
    <n v="3"/>
    <x v="0"/>
    <x v="0"/>
    <x v="0"/>
    <x v="0"/>
    <x v="0"/>
    <n v="1"/>
    <n v="3"/>
    <n v="11"/>
    <x v="1"/>
  </r>
  <r>
    <n v="1618"/>
    <n v="1965"/>
    <x v="0"/>
    <s v="Together"/>
    <n v="56046"/>
    <n v="0"/>
    <n v="0"/>
    <d v="2013-01-02T00:00:00"/>
    <n v="9"/>
    <n v="577"/>
    <n v="0"/>
    <n v="64"/>
    <n v="0"/>
    <n v="0"/>
    <n v="51"/>
    <n v="2"/>
    <n v="10"/>
    <n v="1"/>
    <n v="8"/>
    <n v="8"/>
    <x v="1"/>
    <x v="0"/>
    <x v="0"/>
    <x v="0"/>
    <x v="0"/>
    <n v="0"/>
    <n v="3"/>
    <n v="11"/>
    <x v="0"/>
  </r>
  <r>
    <n v="3332"/>
    <n v="1985"/>
    <x v="0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x v="0"/>
    <x v="0"/>
    <x v="0"/>
    <x v="0"/>
    <x v="0"/>
    <n v="0"/>
    <n v="3"/>
    <n v="11"/>
    <x v="1"/>
  </r>
  <r>
    <n v="2261"/>
    <n v="1969"/>
    <x v="0"/>
    <s v="Married"/>
    <n v="26304"/>
    <n v="1"/>
    <n v="0"/>
    <d v="2013-06-23T00:00:00"/>
    <n v="5"/>
    <n v="4"/>
    <n v="1"/>
    <n v="5"/>
    <n v="2"/>
    <n v="0"/>
    <n v="4"/>
    <n v="1"/>
    <n v="1"/>
    <n v="0"/>
    <n v="2"/>
    <n v="7"/>
    <x v="0"/>
    <x v="0"/>
    <x v="0"/>
    <x v="0"/>
    <x v="0"/>
    <n v="0"/>
    <n v="3"/>
    <n v="11"/>
    <x v="1"/>
  </r>
  <r>
    <n v="5346"/>
    <n v="1973"/>
    <x v="4"/>
    <s v="Married"/>
    <n v="23559"/>
    <n v="1"/>
    <n v="0"/>
    <d v="2013-07-03T00:00:00"/>
    <n v="87"/>
    <n v="25"/>
    <n v="5"/>
    <n v="19"/>
    <n v="7"/>
    <n v="0"/>
    <n v="23"/>
    <n v="3"/>
    <n v="3"/>
    <n v="0"/>
    <n v="3"/>
    <n v="7"/>
    <x v="0"/>
    <x v="0"/>
    <x v="0"/>
    <x v="0"/>
    <x v="0"/>
    <n v="0"/>
    <n v="3"/>
    <n v="11"/>
    <x v="1"/>
  </r>
  <r>
    <n v="4119"/>
    <n v="1963"/>
    <x v="2"/>
    <s v="Together"/>
    <n v="38620"/>
    <n v="0"/>
    <n v="0"/>
    <d v="2013-05-11T00:00:00"/>
    <n v="56"/>
    <n v="112"/>
    <n v="17"/>
    <n v="44"/>
    <n v="34"/>
    <n v="22"/>
    <n v="89"/>
    <n v="1"/>
    <n v="2"/>
    <n v="5"/>
    <n v="3"/>
    <n v="3"/>
    <x v="0"/>
    <x v="0"/>
    <x v="0"/>
    <x v="0"/>
    <x v="0"/>
    <n v="0"/>
    <n v="3"/>
    <n v="11"/>
    <x v="1"/>
  </r>
  <r>
    <n v="535"/>
    <n v="1987"/>
    <x v="0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x v="0"/>
    <x v="0"/>
    <x v="0"/>
    <x v="0"/>
    <x v="0"/>
    <n v="0"/>
    <n v="3"/>
    <n v="11"/>
    <x v="1"/>
  </r>
  <r>
    <n v="5268"/>
    <n v="1960"/>
    <x v="0"/>
    <s v="Married"/>
    <n v="29440"/>
    <n v="1"/>
    <n v="1"/>
    <d v="2013-08-11T00:00:00"/>
    <n v="95"/>
    <n v="17"/>
    <n v="8"/>
    <n v="14"/>
    <n v="10"/>
    <n v="4"/>
    <n v="3"/>
    <n v="2"/>
    <n v="1"/>
    <n v="0"/>
    <n v="4"/>
    <n v="7"/>
    <x v="0"/>
    <x v="0"/>
    <x v="0"/>
    <x v="0"/>
    <x v="0"/>
    <n v="0"/>
    <n v="3"/>
    <n v="11"/>
    <x v="1"/>
  </r>
  <r>
    <n v="273"/>
    <n v="1970"/>
    <x v="2"/>
    <s v="Married"/>
    <n v="36138"/>
    <n v="1"/>
    <n v="1"/>
    <d v="2013-07-16T00:00:00"/>
    <n v="48"/>
    <n v="130"/>
    <n v="0"/>
    <n v="16"/>
    <n v="0"/>
    <n v="0"/>
    <n v="5"/>
    <n v="5"/>
    <n v="3"/>
    <n v="1"/>
    <n v="4"/>
    <n v="7"/>
    <x v="0"/>
    <x v="1"/>
    <x v="0"/>
    <x v="0"/>
    <x v="0"/>
    <n v="0"/>
    <n v="3"/>
    <n v="11"/>
    <x v="1"/>
  </r>
  <r>
    <n v="4452"/>
    <n v="1957"/>
    <x v="0"/>
    <s v="Single"/>
    <n v="50388"/>
    <n v="0"/>
    <n v="1"/>
    <d v="2014-05-28T00:00:00"/>
    <n v="3"/>
    <n v="292"/>
    <n v="6"/>
    <n v="37"/>
    <n v="0"/>
    <n v="3"/>
    <n v="34"/>
    <n v="4"/>
    <n v="6"/>
    <n v="1"/>
    <n v="6"/>
    <n v="7"/>
    <x v="0"/>
    <x v="1"/>
    <x v="0"/>
    <x v="1"/>
    <x v="0"/>
    <n v="0"/>
    <n v="3"/>
    <n v="11"/>
    <x v="0"/>
  </r>
  <r>
    <n v="8504"/>
    <n v="1973"/>
    <x v="0"/>
    <s v="Married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x v="0"/>
    <x v="0"/>
    <x v="1"/>
    <x v="0"/>
    <x v="0"/>
    <n v="0"/>
    <n v="3"/>
    <n v="11"/>
    <x v="1"/>
  </r>
  <r>
    <n v="771"/>
    <n v="1967"/>
    <x v="0"/>
    <s v="Together"/>
    <n v="54178"/>
    <n v="0"/>
    <n v="1"/>
    <d v="2014-01-21T00:00:00"/>
    <n v="79"/>
    <n v="135"/>
    <n v="9"/>
    <n v="39"/>
    <n v="4"/>
    <n v="0"/>
    <n v="7"/>
    <n v="1"/>
    <n v="2"/>
    <n v="2"/>
    <n v="5"/>
    <n v="2"/>
    <x v="0"/>
    <x v="0"/>
    <x v="0"/>
    <x v="0"/>
    <x v="0"/>
    <n v="0"/>
    <n v="3"/>
    <n v="11"/>
    <x v="1"/>
  </r>
  <r>
    <n v="8996"/>
    <n v="1957"/>
    <x v="1"/>
    <s v="Married"/>
    <n v="51381.5"/>
    <n v="2"/>
    <n v="1"/>
    <d v="2012-11-19T00:00:00"/>
    <n v="4"/>
    <n v="230"/>
    <n v="42"/>
    <n v="192"/>
    <n v="49"/>
    <n v="37"/>
    <n v="53"/>
    <n v="12"/>
    <n v="7"/>
    <n v="2"/>
    <n v="8"/>
    <n v="9"/>
    <x v="0"/>
    <x v="0"/>
    <x v="0"/>
    <x v="0"/>
    <x v="0"/>
    <n v="0"/>
    <n v="3"/>
    <n v="11"/>
    <x v="1"/>
  </r>
  <r>
    <n v="9235"/>
    <n v="1957"/>
    <x v="0"/>
    <s v="Single"/>
    <n v="51381.5"/>
    <n v="1"/>
    <n v="1"/>
    <d v="2014-05-27T00:00:00"/>
    <n v="45"/>
    <n v="7"/>
    <n v="0"/>
    <n v="8"/>
    <n v="2"/>
    <n v="0"/>
    <n v="1"/>
    <n v="1"/>
    <n v="1"/>
    <n v="0"/>
    <n v="2"/>
    <n v="7"/>
    <x v="0"/>
    <x v="0"/>
    <x v="0"/>
    <x v="0"/>
    <x v="0"/>
    <n v="0"/>
    <n v="3"/>
    <n v="11"/>
    <x v="1"/>
  </r>
  <r>
    <n v="5798"/>
    <n v="1973"/>
    <x v="2"/>
    <s v="Together"/>
    <n v="51381.5"/>
    <n v="0"/>
    <n v="0"/>
    <d v="2013-11-23T00:00:00"/>
    <n v="87"/>
    <n v="445"/>
    <n v="37"/>
    <n v="359"/>
    <n v="98"/>
    <n v="28"/>
    <n v="18"/>
    <n v="1"/>
    <n v="2"/>
    <n v="4"/>
    <n v="8"/>
    <n v="1"/>
    <x v="0"/>
    <x v="0"/>
    <x v="0"/>
    <x v="0"/>
    <x v="0"/>
    <n v="0"/>
    <n v="3"/>
    <n v="11"/>
    <x v="1"/>
  </r>
  <r>
    <n v="11178"/>
    <n v="1972"/>
    <x v="2"/>
    <s v="Single"/>
    <n v="42394"/>
    <n v="1"/>
    <n v="0"/>
    <d v="2014-03-23T00:00:00"/>
    <n v="69"/>
    <n v="15"/>
    <n v="2"/>
    <n v="10"/>
    <n v="0"/>
    <n v="1"/>
    <n v="4"/>
    <n v="1"/>
    <n v="1"/>
    <n v="0"/>
    <n v="3"/>
    <n v="7"/>
    <x v="0"/>
    <x v="0"/>
    <x v="0"/>
    <x v="0"/>
    <x v="0"/>
    <n v="0"/>
    <n v="3"/>
    <n v="11"/>
    <x v="1"/>
  </r>
  <r>
    <n v="2230"/>
    <n v="1970"/>
    <x v="1"/>
    <s v="Married"/>
    <n v="23626"/>
    <n v="1"/>
    <n v="0"/>
    <d v="2014-05-24T00:00:00"/>
    <n v="84"/>
    <n v="27"/>
    <n v="2"/>
    <n v="14"/>
    <n v="0"/>
    <n v="0"/>
    <n v="0"/>
    <n v="3"/>
    <n v="3"/>
    <n v="1"/>
    <n v="3"/>
    <n v="5"/>
    <x v="0"/>
    <x v="0"/>
    <x v="0"/>
    <x v="0"/>
    <x v="0"/>
    <n v="0"/>
    <n v="3"/>
    <n v="11"/>
    <x v="1"/>
  </r>
  <r>
    <n v="7516"/>
    <n v="1983"/>
    <x v="0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x v="0"/>
    <x v="0"/>
    <x v="0"/>
    <x v="0"/>
    <x v="0"/>
    <n v="0"/>
    <n v="3"/>
    <n v="11"/>
    <x v="1"/>
  </r>
  <r>
    <n v="7247"/>
    <n v="1960"/>
    <x v="0"/>
    <s v="Widow"/>
    <n v="47916"/>
    <n v="0"/>
    <n v="1"/>
    <d v="2012-11-22T00:00:00"/>
    <n v="72"/>
    <n v="505"/>
    <n v="0"/>
    <n v="26"/>
    <n v="0"/>
    <n v="0"/>
    <n v="75"/>
    <n v="5"/>
    <n v="7"/>
    <n v="4"/>
    <n v="6"/>
    <n v="6"/>
    <x v="0"/>
    <x v="1"/>
    <x v="0"/>
    <x v="0"/>
    <x v="0"/>
    <n v="0"/>
    <n v="3"/>
    <n v="11"/>
    <x v="1"/>
  </r>
  <r>
    <n v="11100"/>
    <n v="1972"/>
    <x v="0"/>
    <s v="Divorced"/>
    <n v="51813"/>
    <n v="1"/>
    <n v="1"/>
    <d v="2013-04-11T00:00:00"/>
    <n v="37"/>
    <n v="51"/>
    <n v="2"/>
    <n v="7"/>
    <n v="0"/>
    <n v="1"/>
    <n v="2"/>
    <n v="2"/>
    <n v="2"/>
    <n v="0"/>
    <n v="3"/>
    <n v="7"/>
    <x v="0"/>
    <x v="0"/>
    <x v="0"/>
    <x v="0"/>
    <x v="0"/>
    <n v="0"/>
    <n v="3"/>
    <n v="11"/>
    <x v="1"/>
  </r>
  <r>
    <n v="4646"/>
    <n v="1951"/>
    <x v="4"/>
    <s v="Married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x v="0"/>
    <x v="0"/>
    <x v="0"/>
    <x v="1"/>
    <x v="0"/>
    <n v="0"/>
    <n v="3"/>
    <n v="11"/>
    <x v="1"/>
  </r>
  <r>
    <n v="3037"/>
    <n v="1983"/>
    <x v="1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x v="0"/>
    <x v="0"/>
    <x v="0"/>
    <x v="0"/>
    <x v="0"/>
    <n v="0"/>
    <n v="3"/>
    <n v="11"/>
    <x v="1"/>
  </r>
  <r>
    <n v="1473"/>
    <n v="1960"/>
    <x v="4"/>
    <s v="Single"/>
    <n v="47823"/>
    <n v="0"/>
    <n v="1"/>
    <d v="2013-07-23T00:00:00"/>
    <n v="0"/>
    <n v="53"/>
    <n v="1"/>
    <n v="5"/>
    <n v="2"/>
    <n v="1"/>
    <n v="10"/>
    <n v="2"/>
    <n v="2"/>
    <n v="0"/>
    <n v="3"/>
    <n v="8"/>
    <x v="0"/>
    <x v="0"/>
    <x v="0"/>
    <x v="0"/>
    <x v="0"/>
    <n v="0"/>
    <n v="3"/>
    <n v="11"/>
    <x v="1"/>
  </r>
  <r>
    <n v="1016"/>
    <n v="1959"/>
    <x v="1"/>
    <s v="Single"/>
    <n v="34554"/>
    <n v="0"/>
    <n v="1"/>
    <d v="2014-03-30T00:00:00"/>
    <n v="43"/>
    <n v="41"/>
    <n v="1"/>
    <n v="6"/>
    <n v="2"/>
    <n v="0"/>
    <n v="5"/>
    <n v="2"/>
    <n v="2"/>
    <n v="0"/>
    <n v="3"/>
    <n v="6"/>
    <x v="0"/>
    <x v="0"/>
    <x v="0"/>
    <x v="0"/>
    <x v="0"/>
    <n v="0"/>
    <n v="3"/>
    <n v="11"/>
    <x v="1"/>
  </r>
  <r>
    <n v="4518"/>
    <n v="1979"/>
    <x v="0"/>
    <s v="Together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x v="0"/>
    <x v="0"/>
    <x v="0"/>
    <x v="0"/>
    <x v="0"/>
    <n v="0"/>
    <n v="3"/>
    <n v="11"/>
    <x v="1"/>
  </r>
  <r>
    <n v="9370"/>
    <n v="1945"/>
    <x v="1"/>
    <s v="Married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x v="0"/>
    <x v="0"/>
    <x v="0"/>
    <x v="0"/>
    <x v="0"/>
    <n v="0"/>
    <n v="3"/>
    <n v="11"/>
    <x v="1"/>
  </r>
  <r>
    <n v="8908"/>
    <n v="1959"/>
    <x v="0"/>
    <s v="Married"/>
    <n v="87195"/>
    <n v="0"/>
    <n v="0"/>
    <d v="2014-05-08T00:00:00"/>
    <n v="35"/>
    <n v="217"/>
    <n v="76"/>
    <n v="690"/>
    <n v="50"/>
    <n v="26"/>
    <n v="38"/>
    <n v="1"/>
    <n v="3"/>
    <n v="11"/>
    <n v="5"/>
    <n v="1"/>
    <x v="0"/>
    <x v="0"/>
    <x v="0"/>
    <x v="0"/>
    <x v="0"/>
    <n v="0"/>
    <n v="3"/>
    <n v="11"/>
    <x v="0"/>
  </r>
  <r>
    <n v="8373"/>
    <n v="1979"/>
    <x v="3"/>
    <s v="Together"/>
    <n v="24594"/>
    <n v="1"/>
    <n v="0"/>
    <d v="2013-12-10T00:00:00"/>
    <n v="94"/>
    <n v="1"/>
    <n v="3"/>
    <n v="6"/>
    <n v="10"/>
    <n v="0"/>
    <n v="9"/>
    <n v="1"/>
    <n v="1"/>
    <n v="0"/>
    <n v="3"/>
    <n v="5"/>
    <x v="0"/>
    <x v="0"/>
    <x v="0"/>
    <x v="0"/>
    <x v="0"/>
    <n v="0"/>
    <n v="3"/>
    <n v="11"/>
    <x v="1"/>
  </r>
  <r>
    <n v="7533"/>
    <n v="1964"/>
    <x v="0"/>
    <s v="Married"/>
    <n v="49096"/>
    <n v="1"/>
    <n v="1"/>
    <d v="2013-09-24T00:00:00"/>
    <n v="15"/>
    <n v="144"/>
    <n v="1"/>
    <n v="32"/>
    <n v="2"/>
    <n v="1"/>
    <n v="7"/>
    <n v="4"/>
    <n v="4"/>
    <n v="1"/>
    <n v="4"/>
    <n v="7"/>
    <x v="0"/>
    <x v="0"/>
    <x v="0"/>
    <x v="0"/>
    <x v="0"/>
    <n v="0"/>
    <n v="3"/>
    <n v="11"/>
    <x v="1"/>
  </r>
  <r>
    <n v="2683"/>
    <n v="1969"/>
    <x v="0"/>
    <s v="Married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x v="0"/>
    <x v="0"/>
    <x v="0"/>
    <x v="0"/>
    <x v="0"/>
    <n v="0"/>
    <n v="3"/>
    <n v="11"/>
    <x v="1"/>
  </r>
  <r>
    <n v="3629"/>
    <n v="1978"/>
    <x v="0"/>
    <s v="Single"/>
    <n v="38557"/>
    <n v="1"/>
    <n v="0"/>
    <d v="2012-12-19T00:00:00"/>
    <n v="17"/>
    <n v="76"/>
    <n v="3"/>
    <n v="31"/>
    <n v="4"/>
    <n v="4"/>
    <n v="27"/>
    <n v="2"/>
    <n v="3"/>
    <n v="1"/>
    <n v="3"/>
    <n v="7"/>
    <x v="0"/>
    <x v="0"/>
    <x v="0"/>
    <x v="0"/>
    <x v="0"/>
    <n v="0"/>
    <n v="3"/>
    <n v="11"/>
    <x v="1"/>
  </r>
  <r>
    <n v="10991"/>
    <n v="1960"/>
    <x v="2"/>
    <s v="Married"/>
    <n v="89058"/>
    <n v="0"/>
    <n v="0"/>
    <d v="2012-12-07T00:00:00"/>
    <n v="18"/>
    <n v="454"/>
    <n v="194"/>
    <n v="106"/>
    <n v="31"/>
    <n v="22"/>
    <n v="43"/>
    <n v="1"/>
    <n v="5"/>
    <n v="4"/>
    <n v="4"/>
    <n v="2"/>
    <x v="0"/>
    <x v="0"/>
    <x v="0"/>
    <x v="0"/>
    <x v="0"/>
    <n v="0"/>
    <n v="3"/>
    <n v="11"/>
    <x v="1"/>
  </r>
  <r>
    <n v="5077"/>
    <n v="1979"/>
    <x v="0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x v="0"/>
    <x v="0"/>
    <x v="0"/>
    <x v="0"/>
    <x v="0"/>
    <n v="0"/>
    <n v="3"/>
    <n v="11"/>
    <x v="1"/>
  </r>
  <r>
    <n v="7431"/>
    <n v="1991"/>
    <x v="1"/>
    <s v="Single"/>
    <n v="68126"/>
    <n v="0"/>
    <n v="0"/>
    <d v="2012-11-10T00:00:00"/>
    <n v="40"/>
    <n v="1332"/>
    <n v="17"/>
    <n v="311"/>
    <n v="23"/>
    <n v="51"/>
    <n v="86"/>
    <n v="1"/>
    <n v="7"/>
    <n v="4"/>
    <n v="5"/>
    <n v="9"/>
    <x v="0"/>
    <x v="1"/>
    <x v="0"/>
    <x v="0"/>
    <x v="0"/>
    <n v="0"/>
    <n v="3"/>
    <n v="11"/>
    <x v="0"/>
  </r>
  <r>
    <n v="3267"/>
    <n v="1963"/>
    <x v="2"/>
    <s v="Together"/>
    <n v="57288"/>
    <n v="0"/>
    <n v="1"/>
    <d v="2014-06-25T00:00:00"/>
    <n v="27"/>
    <n v="527"/>
    <n v="0"/>
    <n v="21"/>
    <n v="0"/>
    <n v="0"/>
    <n v="60"/>
    <n v="3"/>
    <n v="8"/>
    <n v="1"/>
    <n v="8"/>
    <n v="6"/>
    <x v="0"/>
    <x v="1"/>
    <x v="0"/>
    <x v="0"/>
    <x v="0"/>
    <n v="0"/>
    <n v="3"/>
    <n v="11"/>
    <x v="1"/>
  </r>
  <r>
    <n v="999"/>
    <n v="1991"/>
    <x v="0"/>
    <s v="Single"/>
    <n v="86037"/>
    <n v="0"/>
    <n v="0"/>
    <d v="2013-01-02T00:00:00"/>
    <n v="95"/>
    <n v="490"/>
    <n v="44"/>
    <n v="125"/>
    <n v="29"/>
    <n v="20"/>
    <n v="22"/>
    <n v="1"/>
    <n v="6"/>
    <n v="7"/>
    <n v="11"/>
    <n v="3"/>
    <x v="0"/>
    <x v="1"/>
    <x v="1"/>
    <x v="0"/>
    <x v="0"/>
    <n v="0"/>
    <n v="3"/>
    <n v="11"/>
    <x v="0"/>
  </r>
  <r>
    <n v="9215"/>
    <n v="1980"/>
    <x v="1"/>
    <s v="Married"/>
    <n v="43974"/>
    <n v="1"/>
    <n v="0"/>
    <d v="2012-12-12T00:00:00"/>
    <n v="19"/>
    <n v="378"/>
    <n v="0"/>
    <n v="101"/>
    <n v="0"/>
    <n v="0"/>
    <n v="72"/>
    <n v="5"/>
    <n v="6"/>
    <n v="4"/>
    <n v="6"/>
    <n v="7"/>
    <x v="0"/>
    <x v="0"/>
    <x v="0"/>
    <x v="0"/>
    <x v="0"/>
    <n v="0"/>
    <n v="3"/>
    <n v="11"/>
    <x v="1"/>
  </r>
  <r>
    <n v="2286"/>
    <n v="1962"/>
    <x v="0"/>
    <s v="Single"/>
    <n v="50785"/>
    <n v="1"/>
    <n v="1"/>
    <d v="2013-09-10T00:00:00"/>
    <n v="27"/>
    <n v="64"/>
    <n v="1"/>
    <n v="21"/>
    <n v="0"/>
    <n v="1"/>
    <n v="27"/>
    <n v="2"/>
    <n v="2"/>
    <n v="1"/>
    <n v="3"/>
    <n v="6"/>
    <x v="0"/>
    <x v="0"/>
    <x v="0"/>
    <x v="0"/>
    <x v="0"/>
    <n v="0"/>
    <n v="3"/>
    <n v="11"/>
    <x v="1"/>
  </r>
  <r>
    <n v="1592"/>
    <n v="1970"/>
    <x v="0"/>
    <s v="Married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x v="0"/>
    <x v="0"/>
    <x v="1"/>
    <x v="1"/>
    <x v="0"/>
    <n v="0"/>
    <n v="3"/>
    <n v="11"/>
    <x v="1"/>
  </r>
  <r>
    <n v="367"/>
    <n v="1978"/>
    <x v="4"/>
    <s v="Married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x v="0"/>
    <x v="0"/>
    <x v="0"/>
    <x v="0"/>
    <x v="0"/>
    <n v="0"/>
    <n v="3"/>
    <n v="11"/>
    <x v="1"/>
  </r>
  <r>
    <n v="5234"/>
    <n v="1967"/>
    <x v="4"/>
    <s v="Together"/>
    <n v="30753"/>
    <n v="1"/>
    <n v="1"/>
    <d v="2013-07-11T00:00:00"/>
    <n v="85"/>
    <n v="12"/>
    <n v="5"/>
    <n v="25"/>
    <n v="0"/>
    <n v="9"/>
    <n v="30"/>
    <n v="2"/>
    <n v="1"/>
    <n v="1"/>
    <n v="3"/>
    <n v="5"/>
    <x v="0"/>
    <x v="0"/>
    <x v="0"/>
    <x v="0"/>
    <x v="0"/>
    <n v="0"/>
    <n v="3"/>
    <n v="11"/>
    <x v="1"/>
  </r>
  <r>
    <n v="9862"/>
    <n v="1969"/>
    <x v="0"/>
    <s v="Together"/>
    <n v="21918"/>
    <n v="1"/>
    <n v="0"/>
    <d v="2013-11-14T00:00:00"/>
    <n v="37"/>
    <n v="1"/>
    <n v="6"/>
    <n v="7"/>
    <n v="11"/>
    <n v="5"/>
    <n v="3"/>
    <n v="2"/>
    <n v="2"/>
    <n v="0"/>
    <n v="3"/>
    <n v="6"/>
    <x v="0"/>
    <x v="0"/>
    <x v="0"/>
    <x v="0"/>
    <x v="0"/>
    <n v="0"/>
    <n v="3"/>
    <n v="11"/>
    <x v="1"/>
  </r>
  <r>
    <n v="9805"/>
    <n v="1953"/>
    <x v="2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x v="0"/>
    <x v="0"/>
    <x v="0"/>
    <x v="0"/>
    <x v="0"/>
    <n v="0"/>
    <n v="3"/>
    <n v="11"/>
    <x v="1"/>
  </r>
  <r>
    <n v="6205"/>
    <n v="1967"/>
    <x v="2"/>
    <s v="Single"/>
    <n v="32557"/>
    <n v="1"/>
    <n v="0"/>
    <d v="2014-02-24T00:00:00"/>
    <n v="13"/>
    <n v="34"/>
    <n v="3"/>
    <n v="29"/>
    <n v="0"/>
    <n v="4"/>
    <n v="10"/>
    <n v="3"/>
    <n v="2"/>
    <n v="1"/>
    <n v="3"/>
    <n v="5"/>
    <x v="0"/>
    <x v="0"/>
    <x v="0"/>
    <x v="0"/>
    <x v="0"/>
    <n v="0"/>
    <n v="3"/>
    <n v="11"/>
    <x v="0"/>
  </r>
  <r>
    <n v="8442"/>
    <n v="1985"/>
    <x v="2"/>
    <s v="Married"/>
    <n v="19510"/>
    <n v="2"/>
    <n v="0"/>
    <d v="2013-09-04T00:00:00"/>
    <n v="63"/>
    <n v="9"/>
    <n v="0"/>
    <n v="7"/>
    <n v="3"/>
    <n v="4"/>
    <n v="7"/>
    <n v="2"/>
    <n v="1"/>
    <n v="0"/>
    <n v="3"/>
    <n v="7"/>
    <x v="0"/>
    <x v="0"/>
    <x v="0"/>
    <x v="0"/>
    <x v="0"/>
    <n v="0"/>
    <n v="3"/>
    <n v="11"/>
    <x v="1"/>
  </r>
  <r>
    <n v="7386"/>
    <n v="1976"/>
    <x v="0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x v="0"/>
    <x v="0"/>
    <x v="0"/>
    <x v="0"/>
    <x v="0"/>
    <n v="0"/>
    <n v="3"/>
    <n v="11"/>
    <x v="1"/>
  </r>
  <r>
    <n v="7215"/>
    <n v="1983"/>
    <x v="0"/>
    <s v="Single"/>
    <n v="101970"/>
    <n v="0"/>
    <n v="0"/>
    <d v="2013-03-12T00:00:00"/>
    <n v="69"/>
    <n v="722"/>
    <n v="27"/>
    <n v="102"/>
    <n v="44"/>
    <n v="72"/>
    <n v="168"/>
    <n v="0"/>
    <n v="6"/>
    <n v="8"/>
    <n v="13"/>
    <n v="2"/>
    <x v="0"/>
    <x v="1"/>
    <x v="1"/>
    <x v="1"/>
    <x v="0"/>
    <n v="0"/>
    <n v="3"/>
    <n v="11"/>
    <x v="0"/>
  </r>
  <r>
    <n v="1491"/>
    <n v="1965"/>
    <x v="4"/>
    <s v="Together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x v="0"/>
    <x v="0"/>
    <x v="0"/>
    <x v="0"/>
    <x v="0"/>
    <n v="0"/>
    <n v="3"/>
    <n v="11"/>
    <x v="1"/>
  </r>
  <r>
    <n v="11071"/>
    <n v="1984"/>
    <x v="0"/>
    <s v="Single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x v="0"/>
    <x v="0"/>
    <x v="0"/>
    <x v="0"/>
    <x v="0"/>
    <n v="0"/>
    <n v="3"/>
    <n v="11"/>
    <x v="0"/>
  </r>
  <r>
    <n v="3381"/>
    <n v="1953"/>
    <x v="2"/>
    <s v="Married"/>
    <n v="54348"/>
    <n v="1"/>
    <n v="1"/>
    <d v="2014-06-08T00:00:00"/>
    <n v="51"/>
    <n v="70"/>
    <n v="0"/>
    <n v="16"/>
    <n v="0"/>
    <n v="0"/>
    <n v="4"/>
    <n v="2"/>
    <n v="2"/>
    <n v="0"/>
    <n v="4"/>
    <n v="6"/>
    <x v="0"/>
    <x v="0"/>
    <x v="0"/>
    <x v="0"/>
    <x v="0"/>
    <n v="0"/>
    <n v="3"/>
    <n v="11"/>
    <x v="1"/>
  </r>
  <r>
    <n v="8268"/>
    <n v="1961"/>
    <x v="1"/>
    <s v="Married"/>
    <n v="51381.5"/>
    <n v="0"/>
    <n v="1"/>
    <d v="2013-07-11T00:00:00"/>
    <n v="23"/>
    <n v="352"/>
    <n v="0"/>
    <n v="27"/>
    <n v="10"/>
    <n v="0"/>
    <n v="15"/>
    <n v="3"/>
    <n v="6"/>
    <n v="1"/>
    <n v="7"/>
    <n v="6"/>
    <x v="0"/>
    <x v="0"/>
    <x v="0"/>
    <x v="0"/>
    <x v="0"/>
    <n v="0"/>
    <n v="3"/>
    <n v="11"/>
    <x v="1"/>
  </r>
  <r>
    <n v="11051"/>
    <n v="1956"/>
    <x v="1"/>
    <s v="Together"/>
    <n v="77376"/>
    <n v="1"/>
    <n v="1"/>
    <d v="2014-05-10T00:00:00"/>
    <n v="72"/>
    <n v="492"/>
    <n v="19"/>
    <n v="110"/>
    <n v="16"/>
    <n v="12"/>
    <n v="12"/>
    <n v="4"/>
    <n v="6"/>
    <n v="3"/>
    <n v="10"/>
    <n v="4"/>
    <x v="0"/>
    <x v="0"/>
    <x v="0"/>
    <x v="0"/>
    <x v="0"/>
    <n v="0"/>
    <n v="3"/>
    <n v="11"/>
    <x v="1"/>
  </r>
  <r>
    <n v="8026"/>
    <n v="1952"/>
    <x v="0"/>
    <s v="Married"/>
    <n v="62998"/>
    <n v="0"/>
    <n v="1"/>
    <d v="2013-09-30T00:00:00"/>
    <n v="10"/>
    <n v="120"/>
    <n v="58"/>
    <n v="73"/>
    <n v="65"/>
    <n v="89"/>
    <n v="58"/>
    <n v="5"/>
    <n v="5"/>
    <n v="4"/>
    <n v="5"/>
    <n v="5"/>
    <x v="0"/>
    <x v="0"/>
    <x v="0"/>
    <x v="0"/>
    <x v="0"/>
    <n v="0"/>
    <n v="3"/>
    <n v="11"/>
    <x v="1"/>
  </r>
  <r>
    <n v="433"/>
    <n v="1958"/>
    <x v="2"/>
    <s v="Alone"/>
    <n v="61331"/>
    <n v="1"/>
    <n v="1"/>
    <d v="2013-03-10T00:00:00"/>
    <n v="42"/>
    <n v="534"/>
    <n v="5"/>
    <n v="47"/>
    <n v="0"/>
    <n v="5"/>
    <n v="41"/>
    <n v="5"/>
    <n v="11"/>
    <n v="1"/>
    <n v="6"/>
    <n v="8"/>
    <x v="0"/>
    <x v="0"/>
    <x v="0"/>
    <x v="0"/>
    <x v="0"/>
    <n v="0"/>
    <n v="3"/>
    <n v="11"/>
    <x v="1"/>
  </r>
  <r>
    <n v="9597"/>
    <n v="1969"/>
    <x v="0"/>
    <s v="Married"/>
    <n v="73448"/>
    <n v="0"/>
    <n v="0"/>
    <d v="2014-02-10T00:00:00"/>
    <n v="10"/>
    <n v="236"/>
    <n v="106"/>
    <n v="189"/>
    <n v="23"/>
    <n v="41"/>
    <n v="130"/>
    <n v="1"/>
    <n v="7"/>
    <n v="2"/>
    <n v="9"/>
    <n v="4"/>
    <x v="0"/>
    <x v="0"/>
    <x v="0"/>
    <x v="0"/>
    <x v="0"/>
    <n v="0"/>
    <n v="3"/>
    <n v="11"/>
    <x v="1"/>
  </r>
  <r>
    <n v="1295"/>
    <n v="1963"/>
    <x v="0"/>
    <s v="Married"/>
    <n v="51381.5"/>
    <n v="0"/>
    <n v="1"/>
    <d v="2013-08-11T00:00:00"/>
    <n v="96"/>
    <n v="231"/>
    <n v="65"/>
    <n v="196"/>
    <n v="38"/>
    <n v="71"/>
    <n v="124"/>
    <n v="1"/>
    <n v="6"/>
    <n v="5"/>
    <n v="7"/>
    <n v="4"/>
    <x v="0"/>
    <x v="0"/>
    <x v="0"/>
    <x v="0"/>
    <x v="0"/>
    <n v="0"/>
    <n v="3"/>
    <n v="11"/>
    <x v="1"/>
  </r>
  <r>
    <n v="5290"/>
    <n v="1964"/>
    <x v="1"/>
    <s v="Married"/>
    <n v="41551"/>
    <n v="1"/>
    <n v="1"/>
    <d v="2013-08-14T00:00:00"/>
    <n v="51"/>
    <n v="220"/>
    <n v="0"/>
    <n v="33"/>
    <n v="3"/>
    <n v="0"/>
    <n v="23"/>
    <n v="5"/>
    <n v="5"/>
    <n v="1"/>
    <n v="5"/>
    <n v="8"/>
    <x v="0"/>
    <x v="0"/>
    <x v="0"/>
    <x v="0"/>
    <x v="0"/>
    <n v="0"/>
    <n v="3"/>
    <n v="11"/>
    <x v="1"/>
  </r>
  <r>
    <n v="1685"/>
    <n v="1967"/>
    <x v="1"/>
    <s v="Together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x v="0"/>
    <x v="1"/>
    <x v="0"/>
    <x v="0"/>
    <x v="0"/>
    <n v="0"/>
    <n v="3"/>
    <n v="11"/>
    <x v="1"/>
  </r>
  <r>
    <n v="5342"/>
    <n v="1976"/>
    <x v="3"/>
    <s v="Divorced"/>
    <n v="9548"/>
    <n v="1"/>
    <n v="0"/>
    <d v="2012-08-08T00:00:00"/>
    <n v="31"/>
    <n v="0"/>
    <n v="1"/>
    <n v="3"/>
    <n v="10"/>
    <n v="6"/>
    <n v="9"/>
    <n v="2"/>
    <n v="1"/>
    <n v="0"/>
    <n v="3"/>
    <n v="8"/>
    <x v="0"/>
    <x v="0"/>
    <x v="0"/>
    <x v="0"/>
    <x v="0"/>
    <n v="0"/>
    <n v="3"/>
    <n v="11"/>
    <x v="1"/>
  </r>
  <r>
    <n v="9579"/>
    <n v="1959"/>
    <x v="1"/>
    <s v="Married"/>
    <n v="33762"/>
    <n v="2"/>
    <n v="1"/>
    <d v="2013-07-07T00:00:00"/>
    <n v="61"/>
    <n v="53"/>
    <n v="1"/>
    <n v="34"/>
    <n v="2"/>
    <n v="0"/>
    <n v="16"/>
    <n v="3"/>
    <n v="2"/>
    <n v="2"/>
    <n v="2"/>
    <n v="8"/>
    <x v="0"/>
    <x v="0"/>
    <x v="0"/>
    <x v="0"/>
    <x v="0"/>
    <n v="0"/>
    <n v="3"/>
    <n v="11"/>
    <x v="1"/>
  </r>
  <r>
    <n v="7660"/>
    <n v="1973"/>
    <x v="1"/>
    <s v="Alone"/>
    <n v="35860"/>
    <n v="1"/>
    <n v="1"/>
    <d v="2014-05-19T00:00:00"/>
    <n v="37"/>
    <n v="15"/>
    <n v="0"/>
    <n v="8"/>
    <n v="4"/>
    <n v="2"/>
    <n v="20"/>
    <n v="2"/>
    <n v="1"/>
    <n v="1"/>
    <n v="2"/>
    <n v="5"/>
    <x v="1"/>
    <x v="0"/>
    <x v="0"/>
    <x v="0"/>
    <x v="0"/>
    <n v="0"/>
    <n v="3"/>
    <n v="11"/>
    <x v="0"/>
  </r>
  <r>
    <n v="1461"/>
    <n v="1965"/>
    <x v="1"/>
    <s v="Divorced"/>
    <n v="36921"/>
    <n v="1"/>
    <n v="1"/>
    <d v="2013-07-28T00:00:00"/>
    <n v="74"/>
    <n v="17"/>
    <n v="1"/>
    <n v="12"/>
    <n v="3"/>
    <n v="1"/>
    <n v="4"/>
    <n v="2"/>
    <n v="2"/>
    <n v="0"/>
    <n v="3"/>
    <n v="7"/>
    <x v="0"/>
    <x v="0"/>
    <x v="0"/>
    <x v="0"/>
    <x v="0"/>
    <n v="0"/>
    <n v="3"/>
    <n v="11"/>
    <x v="1"/>
  </r>
  <r>
    <n v="821"/>
    <n v="1992"/>
    <x v="2"/>
    <s v="Single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x v="0"/>
    <x v="0"/>
    <x v="0"/>
    <x v="0"/>
    <x v="0"/>
    <n v="0"/>
    <n v="3"/>
    <n v="11"/>
    <x v="1"/>
  </r>
  <r>
    <n v="11084"/>
    <n v="1976"/>
    <x v="2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x v="0"/>
    <x v="0"/>
    <x v="0"/>
    <x v="0"/>
    <x v="0"/>
    <n v="0"/>
    <n v="3"/>
    <n v="11"/>
    <x v="0"/>
  </r>
  <r>
    <n v="8690"/>
    <n v="1962"/>
    <x v="0"/>
    <s v="Married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x v="0"/>
    <x v="0"/>
    <x v="0"/>
    <x v="0"/>
    <x v="0"/>
    <n v="0"/>
    <n v="3"/>
    <n v="11"/>
    <x v="1"/>
  </r>
  <r>
    <n v="2937"/>
    <n v="1974"/>
    <x v="1"/>
    <s v="Single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x v="0"/>
    <x v="0"/>
    <x v="0"/>
    <x v="0"/>
    <x v="0"/>
    <n v="0"/>
    <n v="3"/>
    <n v="11"/>
    <x v="1"/>
  </r>
  <r>
    <n v="9701"/>
    <n v="1988"/>
    <x v="0"/>
    <s v="Together"/>
    <n v="41883"/>
    <n v="1"/>
    <n v="0"/>
    <d v="2013-03-19T00:00:00"/>
    <n v="13"/>
    <n v="32"/>
    <n v="34"/>
    <n v="41"/>
    <n v="73"/>
    <n v="16"/>
    <n v="116"/>
    <n v="3"/>
    <n v="4"/>
    <n v="2"/>
    <n v="3"/>
    <n v="7"/>
    <x v="0"/>
    <x v="0"/>
    <x v="0"/>
    <x v="0"/>
    <x v="0"/>
    <n v="0"/>
    <n v="3"/>
    <n v="11"/>
    <x v="1"/>
  </r>
  <r>
    <n v="9949"/>
    <n v="1976"/>
    <x v="0"/>
    <s v="Married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x v="0"/>
    <x v="0"/>
    <x v="0"/>
    <x v="0"/>
    <x v="0"/>
    <n v="0"/>
    <n v="3"/>
    <n v="11"/>
    <x v="1"/>
  </r>
  <r>
    <n v="10837"/>
    <n v="1975"/>
    <x v="0"/>
    <s v="Married"/>
    <n v="23957"/>
    <n v="1"/>
    <n v="0"/>
    <d v="2012-10-28T00:00:00"/>
    <n v="47"/>
    <n v="2"/>
    <n v="1"/>
    <n v="18"/>
    <n v="20"/>
    <n v="11"/>
    <n v="16"/>
    <n v="1"/>
    <n v="2"/>
    <n v="0"/>
    <n v="3"/>
    <n v="6"/>
    <x v="0"/>
    <x v="0"/>
    <x v="0"/>
    <x v="0"/>
    <x v="0"/>
    <n v="0"/>
    <n v="3"/>
    <n v="11"/>
    <x v="0"/>
  </r>
  <r>
    <n v="3120"/>
    <n v="1981"/>
    <x v="0"/>
    <s v="Together"/>
    <n v="38547"/>
    <n v="1"/>
    <n v="0"/>
    <d v="2013-08-28T00:00:00"/>
    <n v="49"/>
    <n v="6"/>
    <n v="1"/>
    <n v="10"/>
    <n v="0"/>
    <n v="1"/>
    <n v="4"/>
    <n v="1"/>
    <n v="1"/>
    <n v="0"/>
    <n v="2"/>
    <n v="8"/>
    <x v="0"/>
    <x v="0"/>
    <x v="0"/>
    <x v="0"/>
    <x v="0"/>
    <n v="1"/>
    <n v="3"/>
    <n v="11"/>
    <x v="1"/>
  </r>
  <r>
    <n v="5885"/>
    <n v="1973"/>
    <x v="4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x v="0"/>
    <x v="0"/>
    <x v="0"/>
    <x v="0"/>
    <x v="0"/>
    <n v="0"/>
    <n v="3"/>
    <n v="11"/>
    <x v="1"/>
  </r>
  <r>
    <n v="4050"/>
    <n v="1966"/>
    <x v="2"/>
    <s v="Married"/>
    <n v="49605"/>
    <n v="0"/>
    <n v="0"/>
    <d v="2014-06-21T00:00:00"/>
    <n v="65"/>
    <n v="42"/>
    <n v="16"/>
    <n v="29"/>
    <n v="12"/>
    <n v="20"/>
    <n v="8"/>
    <n v="1"/>
    <n v="2"/>
    <n v="1"/>
    <n v="4"/>
    <n v="3"/>
    <x v="0"/>
    <x v="0"/>
    <x v="0"/>
    <x v="0"/>
    <x v="0"/>
    <n v="0"/>
    <n v="3"/>
    <n v="11"/>
    <x v="1"/>
  </r>
  <r>
    <n v="3830"/>
    <n v="1953"/>
    <x v="2"/>
    <s v="Married"/>
    <n v="59354"/>
    <n v="0"/>
    <n v="2"/>
    <d v="2014-04-24T00:00:00"/>
    <n v="59"/>
    <n v="295"/>
    <n v="21"/>
    <n v="78"/>
    <n v="39"/>
    <n v="13"/>
    <n v="13"/>
    <n v="1"/>
    <n v="4"/>
    <n v="4"/>
    <n v="7"/>
    <n v="3"/>
    <x v="0"/>
    <x v="0"/>
    <x v="0"/>
    <x v="0"/>
    <x v="0"/>
    <n v="0"/>
    <n v="3"/>
    <n v="11"/>
    <x v="1"/>
  </r>
  <r>
    <n v="7987"/>
    <n v="1969"/>
    <x v="0"/>
    <s v="Married"/>
    <n v="65747"/>
    <n v="0"/>
    <n v="1"/>
    <d v="2014-03-07T00:00:00"/>
    <n v="96"/>
    <n v="346"/>
    <n v="17"/>
    <n v="48"/>
    <n v="23"/>
    <n v="13"/>
    <n v="13"/>
    <n v="4"/>
    <n v="8"/>
    <n v="1"/>
    <n v="6"/>
    <n v="6"/>
    <x v="0"/>
    <x v="1"/>
    <x v="0"/>
    <x v="0"/>
    <x v="0"/>
    <n v="0"/>
    <n v="3"/>
    <n v="11"/>
    <x v="1"/>
  </r>
  <r>
    <n v="7798"/>
    <n v="1972"/>
    <x v="4"/>
    <s v="Together"/>
    <n v="46344"/>
    <n v="0"/>
    <n v="1"/>
    <d v="2012-12-14T00:00:00"/>
    <n v="28"/>
    <n v="233"/>
    <n v="20"/>
    <n v="57"/>
    <n v="8"/>
    <n v="20"/>
    <n v="91"/>
    <n v="4"/>
    <n v="7"/>
    <n v="1"/>
    <n v="5"/>
    <n v="7"/>
    <x v="0"/>
    <x v="0"/>
    <x v="0"/>
    <x v="0"/>
    <x v="0"/>
    <n v="0"/>
    <n v="3"/>
    <n v="11"/>
    <x v="1"/>
  </r>
  <r>
    <n v="92"/>
    <n v="1988"/>
    <x v="0"/>
    <s v="Alone"/>
    <n v="34176"/>
    <n v="1"/>
    <n v="0"/>
    <d v="2014-05-12T00:00:00"/>
    <n v="12"/>
    <n v="5"/>
    <n v="7"/>
    <n v="24"/>
    <n v="19"/>
    <n v="14"/>
    <n v="20"/>
    <n v="4"/>
    <n v="3"/>
    <n v="0"/>
    <n v="4"/>
    <n v="6"/>
    <x v="0"/>
    <x v="0"/>
    <x v="0"/>
    <x v="0"/>
    <x v="0"/>
    <n v="0"/>
    <n v="3"/>
    <n v="11"/>
    <x v="1"/>
  </r>
  <r>
    <n v="7055"/>
    <n v="1952"/>
    <x v="1"/>
    <s v="Together"/>
    <n v="61010"/>
    <n v="0"/>
    <n v="1"/>
    <d v="2012-10-09T00:00:00"/>
    <n v="57"/>
    <n v="888"/>
    <n v="0"/>
    <n v="57"/>
    <n v="0"/>
    <n v="0"/>
    <n v="76"/>
    <n v="2"/>
    <n v="8"/>
    <n v="5"/>
    <n v="11"/>
    <n v="5"/>
    <x v="0"/>
    <x v="0"/>
    <x v="0"/>
    <x v="0"/>
    <x v="0"/>
    <n v="0"/>
    <n v="3"/>
    <n v="11"/>
    <x v="1"/>
  </r>
  <r>
    <n v="10240"/>
    <n v="1949"/>
    <x v="0"/>
    <s v="Together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x v="0"/>
    <x v="1"/>
    <x v="1"/>
    <x v="0"/>
    <x v="0"/>
    <n v="0"/>
    <n v="3"/>
    <n v="11"/>
    <x v="0"/>
  </r>
  <r>
    <n v="3025"/>
    <n v="1958"/>
    <x v="0"/>
    <s v="Single"/>
    <n v="49967"/>
    <n v="0"/>
    <n v="1"/>
    <d v="2013-07-08T00:00:00"/>
    <n v="4"/>
    <n v="212"/>
    <n v="6"/>
    <n v="69"/>
    <n v="4"/>
    <n v="12"/>
    <n v="3"/>
    <n v="3"/>
    <n v="6"/>
    <n v="1"/>
    <n v="5"/>
    <n v="7"/>
    <x v="0"/>
    <x v="0"/>
    <x v="0"/>
    <x v="0"/>
    <x v="0"/>
    <n v="0"/>
    <n v="3"/>
    <n v="11"/>
    <x v="1"/>
  </r>
  <r>
    <n v="9283"/>
    <n v="1978"/>
    <x v="0"/>
    <s v="Single"/>
    <n v="60199"/>
    <n v="1"/>
    <n v="2"/>
    <d v="2013-09-12T00:00:00"/>
    <n v="49"/>
    <n v="8"/>
    <n v="1"/>
    <n v="7"/>
    <n v="2"/>
    <n v="0"/>
    <n v="0"/>
    <n v="1"/>
    <n v="0"/>
    <n v="0"/>
    <n v="3"/>
    <n v="4"/>
    <x v="0"/>
    <x v="0"/>
    <x v="0"/>
    <x v="0"/>
    <x v="0"/>
    <n v="0"/>
    <n v="3"/>
    <n v="11"/>
    <x v="1"/>
  </r>
  <r>
    <n v="9970"/>
    <n v="1977"/>
    <x v="0"/>
    <s v="Together"/>
    <n v="55375"/>
    <n v="0"/>
    <n v="1"/>
    <d v="2013-10-17T00:00:00"/>
    <n v="3"/>
    <n v="42"/>
    <n v="11"/>
    <n v="57"/>
    <n v="10"/>
    <n v="28"/>
    <n v="14"/>
    <n v="1"/>
    <n v="1"/>
    <n v="1"/>
    <n v="6"/>
    <n v="2"/>
    <x v="0"/>
    <x v="0"/>
    <x v="0"/>
    <x v="0"/>
    <x v="0"/>
    <n v="0"/>
    <n v="3"/>
    <n v="11"/>
    <x v="1"/>
  </r>
  <r>
    <n v="2730"/>
    <n v="1955"/>
    <x v="0"/>
    <s v="Single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x v="0"/>
    <x v="0"/>
    <x v="0"/>
    <x v="0"/>
    <x v="0"/>
    <n v="0"/>
    <n v="3"/>
    <n v="11"/>
    <x v="1"/>
  </r>
  <r>
    <n v="2795"/>
    <n v="1958"/>
    <x v="2"/>
    <s v="Single"/>
    <n v="30523"/>
    <n v="2"/>
    <n v="1"/>
    <d v="2013-07-01T00:00:00"/>
    <n v="0"/>
    <n v="5"/>
    <n v="0"/>
    <n v="3"/>
    <n v="0"/>
    <n v="0"/>
    <n v="5"/>
    <n v="1"/>
    <n v="1"/>
    <n v="0"/>
    <n v="2"/>
    <n v="7"/>
    <x v="0"/>
    <x v="0"/>
    <x v="0"/>
    <x v="0"/>
    <x v="0"/>
    <n v="0"/>
    <n v="3"/>
    <n v="11"/>
    <x v="1"/>
  </r>
  <r>
    <n v="9260"/>
    <n v="1945"/>
    <x v="1"/>
    <s v="Married"/>
    <n v="70356"/>
    <n v="0"/>
    <n v="0"/>
    <d v="2012-11-05T00:00:00"/>
    <n v="20"/>
    <n v="1349"/>
    <n v="16"/>
    <n v="249"/>
    <n v="43"/>
    <n v="16"/>
    <n v="33"/>
    <n v="2"/>
    <n v="10"/>
    <n v="6"/>
    <n v="9"/>
    <n v="6"/>
    <x v="0"/>
    <x v="0"/>
    <x v="0"/>
    <x v="0"/>
    <x v="0"/>
    <n v="0"/>
    <n v="3"/>
    <n v="11"/>
    <x v="1"/>
  </r>
  <r>
    <n v="8182"/>
    <n v="1984"/>
    <x v="0"/>
    <s v="Married"/>
    <n v="23228"/>
    <n v="1"/>
    <n v="0"/>
    <d v="2014-01-05T00:00:00"/>
    <n v="91"/>
    <n v="53"/>
    <n v="3"/>
    <n v="49"/>
    <n v="7"/>
    <n v="4"/>
    <n v="5"/>
    <n v="4"/>
    <n v="3"/>
    <n v="0"/>
    <n v="4"/>
    <n v="8"/>
    <x v="0"/>
    <x v="0"/>
    <x v="0"/>
    <x v="0"/>
    <x v="0"/>
    <n v="0"/>
    <n v="3"/>
    <n v="11"/>
    <x v="1"/>
  </r>
  <r>
    <n v="10095"/>
    <n v="1975"/>
    <x v="1"/>
    <s v="Divorced"/>
    <n v="74165"/>
    <n v="0"/>
    <n v="0"/>
    <d v="2013-05-01T00:00:00"/>
    <n v="9"/>
    <n v="1001"/>
    <n v="12"/>
    <n v="240"/>
    <n v="16"/>
    <n v="12"/>
    <n v="12"/>
    <n v="1"/>
    <n v="5"/>
    <n v="4"/>
    <n v="10"/>
    <n v="2"/>
    <x v="0"/>
    <x v="0"/>
    <x v="0"/>
    <x v="0"/>
    <x v="0"/>
    <n v="0"/>
    <n v="3"/>
    <n v="11"/>
    <x v="1"/>
  </r>
  <r>
    <n v="8475"/>
    <n v="1973"/>
    <x v="1"/>
    <s v="Married"/>
    <n v="157243"/>
    <n v="0"/>
    <n v="1"/>
    <d v="2014-03-01T00:00:00"/>
    <n v="98"/>
    <n v="20"/>
    <n v="2"/>
    <n v="1582"/>
    <n v="1"/>
    <n v="2"/>
    <n v="1"/>
    <n v="15"/>
    <n v="0"/>
    <n v="22"/>
    <n v="0"/>
    <n v="0"/>
    <x v="0"/>
    <x v="0"/>
    <x v="0"/>
    <x v="0"/>
    <x v="0"/>
    <n v="0"/>
    <n v="3"/>
    <n v="11"/>
    <x v="1"/>
  </r>
  <r>
    <n v="4370"/>
    <n v="1966"/>
    <x v="0"/>
    <s v="Together"/>
    <n v="43482"/>
    <n v="2"/>
    <n v="1"/>
    <d v="2013-11-13T00:00:00"/>
    <n v="83"/>
    <n v="18"/>
    <n v="1"/>
    <n v="32"/>
    <n v="6"/>
    <n v="3"/>
    <n v="28"/>
    <n v="3"/>
    <n v="2"/>
    <n v="0"/>
    <n v="4"/>
    <n v="6"/>
    <x v="0"/>
    <x v="0"/>
    <x v="0"/>
    <x v="0"/>
    <x v="0"/>
    <n v="0"/>
    <n v="3"/>
    <n v="11"/>
    <x v="1"/>
  </r>
  <r>
    <n v="10573"/>
    <n v="1953"/>
    <x v="0"/>
    <s v="Divorced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x v="1"/>
    <x v="0"/>
    <x v="0"/>
    <x v="0"/>
    <x v="0"/>
    <n v="0"/>
    <n v="3"/>
    <n v="11"/>
    <x v="1"/>
  </r>
  <r>
    <n v="3712"/>
    <n v="1959"/>
    <x v="0"/>
    <s v="Divorced"/>
    <n v="52332"/>
    <n v="0"/>
    <n v="0"/>
    <d v="2013-08-28T00:00:00"/>
    <n v="63"/>
    <n v="212"/>
    <n v="5"/>
    <n v="33"/>
    <n v="7"/>
    <n v="0"/>
    <n v="2"/>
    <n v="1"/>
    <n v="3"/>
    <n v="2"/>
    <n v="6"/>
    <n v="4"/>
    <x v="0"/>
    <x v="1"/>
    <x v="0"/>
    <x v="0"/>
    <x v="0"/>
    <n v="0"/>
    <n v="3"/>
    <n v="11"/>
    <x v="1"/>
  </r>
  <r>
    <n v="6637"/>
    <n v="1988"/>
    <x v="0"/>
    <s v="Single"/>
    <n v="66951"/>
    <n v="0"/>
    <n v="0"/>
    <d v="2013-11-02T00:00:00"/>
    <n v="46"/>
    <n v="277"/>
    <n v="162"/>
    <n v="305"/>
    <n v="173"/>
    <n v="76"/>
    <n v="124"/>
    <n v="1"/>
    <n v="3"/>
    <n v="4"/>
    <n v="7"/>
    <n v="1"/>
    <x v="0"/>
    <x v="0"/>
    <x v="0"/>
    <x v="0"/>
    <x v="0"/>
    <n v="0"/>
    <n v="3"/>
    <n v="11"/>
    <x v="1"/>
  </r>
  <r>
    <n v="3152"/>
    <n v="1957"/>
    <x v="0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x v="0"/>
    <x v="0"/>
    <x v="0"/>
    <x v="0"/>
    <x v="0"/>
    <n v="0"/>
    <n v="3"/>
    <n v="11"/>
    <x v="1"/>
  </r>
  <r>
    <n v="5610"/>
    <n v="1965"/>
    <x v="0"/>
    <s v="Together"/>
    <n v="33456"/>
    <n v="1"/>
    <n v="1"/>
    <d v="2014-04-21T00:00:00"/>
    <n v="58"/>
    <n v="7"/>
    <n v="3"/>
    <n v="10"/>
    <n v="8"/>
    <n v="1"/>
    <n v="7"/>
    <n v="2"/>
    <n v="1"/>
    <n v="0"/>
    <n v="3"/>
    <n v="7"/>
    <x v="0"/>
    <x v="0"/>
    <x v="0"/>
    <x v="0"/>
    <x v="0"/>
    <n v="0"/>
    <n v="3"/>
    <n v="11"/>
    <x v="1"/>
  </r>
  <r>
    <n v="6460"/>
    <n v="1982"/>
    <x v="0"/>
    <s v="Married"/>
    <n v="28718"/>
    <n v="1"/>
    <n v="0"/>
    <d v="2013-07-13T00:00:00"/>
    <n v="78"/>
    <n v="12"/>
    <n v="4"/>
    <n v="6"/>
    <n v="11"/>
    <n v="8"/>
    <n v="16"/>
    <n v="2"/>
    <n v="2"/>
    <n v="0"/>
    <n v="3"/>
    <n v="8"/>
    <x v="0"/>
    <x v="0"/>
    <x v="0"/>
    <x v="0"/>
    <x v="0"/>
    <n v="0"/>
    <n v="3"/>
    <n v="11"/>
    <x v="1"/>
  </r>
  <r>
    <n v="1349"/>
    <n v="1970"/>
    <x v="0"/>
    <s v="Married"/>
    <n v="50447"/>
    <n v="2"/>
    <n v="0"/>
    <d v="2014-04-21T00:00:00"/>
    <n v="4"/>
    <n v="85"/>
    <n v="7"/>
    <n v="24"/>
    <n v="2"/>
    <n v="3"/>
    <n v="27"/>
    <n v="1"/>
    <n v="3"/>
    <n v="1"/>
    <n v="3"/>
    <n v="6"/>
    <x v="0"/>
    <x v="0"/>
    <x v="0"/>
    <x v="0"/>
    <x v="0"/>
    <n v="0"/>
    <n v="3"/>
    <n v="11"/>
    <x v="1"/>
  </r>
  <r>
    <n v="1880"/>
    <n v="1959"/>
    <x v="1"/>
    <s v="Together"/>
    <n v="53537"/>
    <n v="1"/>
    <n v="1"/>
    <d v="2014-01-30T00:00:00"/>
    <n v="17"/>
    <n v="81"/>
    <n v="0"/>
    <n v="6"/>
    <n v="0"/>
    <n v="0"/>
    <n v="6"/>
    <n v="2"/>
    <n v="2"/>
    <n v="1"/>
    <n v="3"/>
    <n v="5"/>
    <x v="0"/>
    <x v="0"/>
    <x v="0"/>
    <x v="0"/>
    <x v="0"/>
    <n v="0"/>
    <n v="3"/>
    <n v="11"/>
    <x v="1"/>
  </r>
  <r>
    <n v="641"/>
    <n v="1967"/>
    <x v="0"/>
    <s v="Single"/>
    <n v="52074"/>
    <n v="0"/>
    <n v="1"/>
    <d v="2014-04-04T00:00:00"/>
    <n v="77"/>
    <n v="59"/>
    <n v="0"/>
    <n v="12"/>
    <n v="0"/>
    <n v="0"/>
    <n v="48"/>
    <n v="1"/>
    <n v="2"/>
    <n v="2"/>
    <n v="2"/>
    <n v="4"/>
    <x v="1"/>
    <x v="0"/>
    <x v="0"/>
    <x v="0"/>
    <x v="0"/>
    <n v="0"/>
    <n v="3"/>
    <n v="11"/>
    <x v="1"/>
  </r>
  <r>
    <n v="8717"/>
    <n v="1975"/>
    <x v="1"/>
    <s v="Married"/>
    <n v="80427"/>
    <n v="0"/>
    <n v="1"/>
    <d v="2012-09-12T00:00:00"/>
    <n v="56"/>
    <n v="1149"/>
    <n v="71"/>
    <n v="449"/>
    <n v="69"/>
    <n v="71"/>
    <n v="26"/>
    <n v="1"/>
    <n v="11"/>
    <n v="8"/>
    <n v="8"/>
    <n v="5"/>
    <x v="0"/>
    <x v="0"/>
    <x v="0"/>
    <x v="0"/>
    <x v="0"/>
    <n v="0"/>
    <n v="3"/>
    <n v="11"/>
    <x v="1"/>
  </r>
  <r>
    <n v="10314"/>
    <n v="1948"/>
    <x v="1"/>
    <s v="Married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x v="0"/>
    <x v="1"/>
    <x v="0"/>
    <x v="1"/>
    <x v="0"/>
    <n v="0"/>
    <n v="3"/>
    <n v="11"/>
    <x v="0"/>
  </r>
  <r>
    <n v="10854"/>
    <n v="1970"/>
    <x v="1"/>
    <s v="Married"/>
    <n v="38853"/>
    <n v="1"/>
    <n v="1"/>
    <d v="2014-05-23T00:00:00"/>
    <n v="90"/>
    <n v="29"/>
    <n v="0"/>
    <n v="14"/>
    <n v="0"/>
    <n v="0"/>
    <n v="2"/>
    <n v="2"/>
    <n v="2"/>
    <n v="0"/>
    <n v="3"/>
    <n v="7"/>
    <x v="0"/>
    <x v="0"/>
    <x v="0"/>
    <x v="0"/>
    <x v="0"/>
    <n v="0"/>
    <n v="3"/>
    <n v="11"/>
    <x v="1"/>
  </r>
  <r>
    <n v="10492"/>
    <n v="1959"/>
    <x v="0"/>
    <s v="Together"/>
    <n v="38285"/>
    <n v="2"/>
    <n v="1"/>
    <d v="2014-06-24T00:00:00"/>
    <n v="96"/>
    <n v="2"/>
    <n v="0"/>
    <n v="5"/>
    <n v="2"/>
    <n v="0"/>
    <n v="1"/>
    <n v="1"/>
    <n v="0"/>
    <n v="0"/>
    <n v="3"/>
    <n v="2"/>
    <x v="0"/>
    <x v="0"/>
    <x v="0"/>
    <x v="0"/>
    <x v="0"/>
    <n v="0"/>
    <n v="3"/>
    <n v="11"/>
    <x v="1"/>
  </r>
  <r>
    <n v="6935"/>
    <n v="1951"/>
    <x v="4"/>
    <s v="Married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x v="0"/>
    <x v="0"/>
    <x v="0"/>
    <x v="1"/>
    <x v="0"/>
    <n v="0"/>
    <n v="3"/>
    <n v="11"/>
    <x v="1"/>
  </r>
  <r>
    <n v="7698"/>
    <n v="1976"/>
    <x v="1"/>
    <s v="Married"/>
    <n v="51650"/>
    <n v="0"/>
    <n v="1"/>
    <d v="2014-05-11T00:00:00"/>
    <n v="81"/>
    <n v="152"/>
    <n v="3"/>
    <n v="22"/>
    <n v="2"/>
    <n v="5"/>
    <n v="7"/>
    <n v="1"/>
    <n v="4"/>
    <n v="1"/>
    <n v="4"/>
    <n v="5"/>
    <x v="0"/>
    <x v="0"/>
    <x v="0"/>
    <x v="0"/>
    <x v="0"/>
    <n v="0"/>
    <n v="3"/>
    <n v="11"/>
    <x v="1"/>
  </r>
  <r>
    <n v="3559"/>
    <n v="1988"/>
    <x v="4"/>
    <s v="Married"/>
    <n v="16248"/>
    <n v="1"/>
    <n v="0"/>
    <d v="2014-05-10T00:00:00"/>
    <n v="77"/>
    <n v="12"/>
    <n v="11"/>
    <n v="10"/>
    <n v="3"/>
    <n v="12"/>
    <n v="9"/>
    <n v="3"/>
    <n v="2"/>
    <n v="1"/>
    <n v="3"/>
    <n v="6"/>
    <x v="0"/>
    <x v="0"/>
    <x v="0"/>
    <x v="0"/>
    <x v="0"/>
    <n v="0"/>
    <n v="3"/>
    <n v="11"/>
    <x v="1"/>
  </r>
  <r>
    <n v="10562"/>
    <n v="1946"/>
    <x v="2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x v="0"/>
    <x v="0"/>
    <x v="0"/>
    <x v="0"/>
    <x v="0"/>
    <n v="0"/>
    <n v="3"/>
    <n v="11"/>
    <x v="1"/>
  </r>
  <r>
    <n v="10796"/>
    <n v="1984"/>
    <x v="2"/>
    <s v="Married"/>
    <n v="30477"/>
    <n v="1"/>
    <n v="0"/>
    <d v="2014-01-22T00:00:00"/>
    <n v="16"/>
    <n v="47"/>
    <n v="1"/>
    <n v="6"/>
    <n v="0"/>
    <n v="0"/>
    <n v="12"/>
    <n v="1"/>
    <n v="1"/>
    <n v="1"/>
    <n v="3"/>
    <n v="6"/>
    <x v="0"/>
    <x v="0"/>
    <x v="0"/>
    <x v="0"/>
    <x v="0"/>
    <n v="0"/>
    <n v="3"/>
    <n v="11"/>
    <x v="1"/>
  </r>
  <r>
    <n v="2563"/>
    <n v="1961"/>
    <x v="3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x v="0"/>
    <x v="0"/>
    <x v="0"/>
    <x v="0"/>
    <x v="0"/>
    <n v="0"/>
    <n v="3"/>
    <n v="11"/>
    <x v="1"/>
  </r>
  <r>
    <n v="3518"/>
    <n v="1983"/>
    <x v="0"/>
    <s v="Married"/>
    <n v="25271"/>
    <n v="1"/>
    <n v="0"/>
    <d v="2012-12-05T00:00:00"/>
    <n v="45"/>
    <n v="10"/>
    <n v="1"/>
    <n v="18"/>
    <n v="10"/>
    <n v="4"/>
    <n v="7"/>
    <n v="1"/>
    <n v="1"/>
    <n v="1"/>
    <n v="2"/>
    <n v="9"/>
    <x v="0"/>
    <x v="0"/>
    <x v="0"/>
    <x v="0"/>
    <x v="0"/>
    <n v="0"/>
    <n v="3"/>
    <n v="11"/>
    <x v="1"/>
  </r>
  <r>
    <n v="5823"/>
    <n v="1970"/>
    <x v="1"/>
    <s v="Single"/>
    <n v="32303"/>
    <n v="0"/>
    <n v="1"/>
    <d v="2014-03-08T00:00:00"/>
    <n v="63"/>
    <n v="35"/>
    <n v="0"/>
    <n v="2"/>
    <n v="0"/>
    <n v="0"/>
    <n v="2"/>
    <n v="2"/>
    <n v="1"/>
    <n v="0"/>
    <n v="4"/>
    <n v="5"/>
    <x v="0"/>
    <x v="0"/>
    <x v="0"/>
    <x v="0"/>
    <x v="0"/>
    <n v="0"/>
    <n v="3"/>
    <n v="11"/>
    <x v="1"/>
  </r>
  <r>
    <n v="3934"/>
    <n v="1966"/>
    <x v="0"/>
    <s v="Married"/>
    <n v="61286"/>
    <n v="0"/>
    <n v="1"/>
    <d v="2013-08-02T00:00:00"/>
    <n v="34"/>
    <n v="356"/>
    <n v="0"/>
    <n v="107"/>
    <n v="19"/>
    <n v="9"/>
    <n v="117"/>
    <n v="2"/>
    <n v="7"/>
    <n v="1"/>
    <n v="8"/>
    <n v="5"/>
    <x v="0"/>
    <x v="0"/>
    <x v="0"/>
    <x v="0"/>
    <x v="0"/>
    <n v="0"/>
    <n v="3"/>
    <n v="11"/>
    <x v="1"/>
  </r>
  <r>
    <n v="6982"/>
    <n v="1976"/>
    <x v="0"/>
    <s v="Married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x v="0"/>
    <x v="0"/>
    <x v="0"/>
    <x v="0"/>
    <x v="0"/>
    <n v="0"/>
    <n v="3"/>
    <n v="11"/>
    <x v="1"/>
  </r>
  <r>
    <n v="6431"/>
    <n v="1964"/>
    <x v="1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x v="0"/>
    <x v="0"/>
    <x v="0"/>
    <x v="0"/>
    <x v="0"/>
    <n v="0"/>
    <n v="3"/>
    <n v="11"/>
    <x v="1"/>
  </r>
  <r>
    <n v="9733"/>
    <n v="1978"/>
    <x v="3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x v="1"/>
    <x v="0"/>
    <x v="0"/>
    <x v="0"/>
    <x v="0"/>
    <n v="0"/>
    <n v="3"/>
    <n v="11"/>
    <x v="1"/>
  </r>
  <r>
    <n v="5602"/>
    <n v="1989"/>
    <x v="1"/>
    <s v="Together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x v="0"/>
    <x v="0"/>
    <x v="0"/>
    <x v="0"/>
    <x v="0"/>
    <n v="0"/>
    <n v="3"/>
    <n v="11"/>
    <x v="1"/>
  </r>
  <r>
    <n v="7829"/>
    <n v="1900"/>
    <x v="4"/>
    <s v="Divorced"/>
    <n v="36640"/>
    <n v="1"/>
    <n v="0"/>
    <d v="2013-09-26T00:00:00"/>
    <n v="99"/>
    <n v="15"/>
    <n v="6"/>
    <n v="8"/>
    <n v="7"/>
    <n v="4"/>
    <n v="25"/>
    <n v="1"/>
    <n v="2"/>
    <n v="1"/>
    <n v="2"/>
    <n v="5"/>
    <x v="0"/>
    <x v="0"/>
    <x v="0"/>
    <x v="0"/>
    <x v="0"/>
    <n v="1"/>
    <n v="3"/>
    <n v="11"/>
    <x v="1"/>
  </r>
  <r>
    <n v="1324"/>
    <n v="1988"/>
    <x v="0"/>
    <s v="Married"/>
    <n v="38872"/>
    <n v="1"/>
    <n v="0"/>
    <d v="2013-05-30T00:00:00"/>
    <n v="93"/>
    <n v="23"/>
    <n v="3"/>
    <n v="21"/>
    <n v="3"/>
    <n v="19"/>
    <n v="22"/>
    <n v="2"/>
    <n v="3"/>
    <n v="0"/>
    <n v="3"/>
    <n v="8"/>
    <x v="0"/>
    <x v="0"/>
    <x v="0"/>
    <x v="0"/>
    <x v="0"/>
    <n v="0"/>
    <n v="3"/>
    <n v="11"/>
    <x v="1"/>
  </r>
  <r>
    <n v="326"/>
    <n v="1973"/>
    <x v="0"/>
    <s v="Married"/>
    <n v="51148"/>
    <n v="1"/>
    <n v="1"/>
    <d v="2013-02-18T00:00:00"/>
    <n v="38"/>
    <n v="235"/>
    <n v="6"/>
    <n v="45"/>
    <n v="8"/>
    <n v="9"/>
    <n v="12"/>
    <n v="4"/>
    <n v="5"/>
    <n v="1"/>
    <n v="6"/>
    <n v="6"/>
    <x v="0"/>
    <x v="0"/>
    <x v="0"/>
    <x v="0"/>
    <x v="0"/>
    <n v="0"/>
    <n v="3"/>
    <n v="11"/>
    <x v="1"/>
  </r>
  <r>
    <n v="7224"/>
    <n v="1977"/>
    <x v="0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x v="0"/>
    <x v="0"/>
    <x v="0"/>
    <x v="0"/>
    <x v="0"/>
    <n v="0"/>
    <n v="3"/>
    <n v="11"/>
    <x v="1"/>
  </r>
  <r>
    <n v="6999"/>
    <n v="1980"/>
    <x v="2"/>
    <s v="Married"/>
    <n v="69661"/>
    <n v="0"/>
    <n v="0"/>
    <d v="2014-05-13T00:00:00"/>
    <n v="80"/>
    <n v="656"/>
    <n v="16"/>
    <n v="106"/>
    <n v="32"/>
    <n v="16"/>
    <n v="8"/>
    <n v="1"/>
    <n v="7"/>
    <n v="3"/>
    <n v="12"/>
    <n v="3"/>
    <x v="0"/>
    <x v="0"/>
    <x v="0"/>
    <x v="0"/>
    <x v="0"/>
    <n v="0"/>
    <n v="3"/>
    <n v="11"/>
    <x v="1"/>
  </r>
  <r>
    <n v="9938"/>
    <n v="1954"/>
    <x v="0"/>
    <s v="Married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x v="0"/>
    <x v="0"/>
    <x v="1"/>
    <x v="0"/>
    <x v="0"/>
    <n v="0"/>
    <n v="3"/>
    <n v="11"/>
    <x v="1"/>
  </r>
  <r>
    <n v="6422"/>
    <n v="1954"/>
    <x v="0"/>
    <s v="Married"/>
    <n v="86718"/>
    <n v="0"/>
    <n v="0"/>
    <d v="2013-01-17T00:00:00"/>
    <n v="20"/>
    <n v="344"/>
    <n v="189"/>
    <n v="482"/>
    <n v="50"/>
    <n v="33"/>
    <n v="172"/>
    <n v="1"/>
    <n v="5"/>
    <n v="6"/>
    <n v="5"/>
    <n v="2"/>
    <x v="0"/>
    <x v="0"/>
    <x v="0"/>
    <x v="0"/>
    <x v="0"/>
    <n v="0"/>
    <n v="3"/>
    <n v="11"/>
    <x v="1"/>
  </r>
  <r>
    <n v="3182"/>
    <n v="1973"/>
    <x v="1"/>
    <s v="Single"/>
    <n v="46854"/>
    <n v="1"/>
    <n v="1"/>
    <d v="2014-03-31T00:00:00"/>
    <n v="81"/>
    <n v="96"/>
    <n v="1"/>
    <n v="79"/>
    <n v="7"/>
    <n v="1"/>
    <n v="79"/>
    <n v="6"/>
    <n v="5"/>
    <n v="1"/>
    <n v="3"/>
    <n v="8"/>
    <x v="1"/>
    <x v="0"/>
    <x v="0"/>
    <x v="0"/>
    <x v="0"/>
    <n v="0"/>
    <n v="3"/>
    <n v="11"/>
    <x v="0"/>
  </r>
  <r>
    <n v="7300"/>
    <n v="1952"/>
    <x v="0"/>
    <s v="Divorced"/>
    <n v="69142"/>
    <n v="0"/>
    <n v="1"/>
    <d v="2014-06-29T00:00:00"/>
    <n v="50"/>
    <n v="448"/>
    <n v="4"/>
    <n v="34"/>
    <n v="6"/>
    <n v="4"/>
    <n v="39"/>
    <n v="3"/>
    <n v="8"/>
    <n v="1"/>
    <n v="7"/>
    <n v="5"/>
    <x v="0"/>
    <x v="1"/>
    <x v="0"/>
    <x v="0"/>
    <x v="0"/>
    <n v="0"/>
    <n v="3"/>
    <n v="11"/>
    <x v="1"/>
  </r>
  <r>
    <n v="10424"/>
    <n v="1968"/>
    <x v="0"/>
    <s v="Single"/>
    <n v="75922"/>
    <n v="0"/>
    <n v="0"/>
    <d v="2013-12-09T00:00:00"/>
    <n v="60"/>
    <n v="265"/>
    <n v="138"/>
    <n v="553"/>
    <n v="224"/>
    <n v="23"/>
    <n v="92"/>
    <n v="1"/>
    <n v="4"/>
    <n v="4"/>
    <n v="9"/>
    <n v="1"/>
    <x v="0"/>
    <x v="0"/>
    <x v="0"/>
    <x v="0"/>
    <x v="0"/>
    <n v="0"/>
    <n v="3"/>
    <n v="11"/>
    <x v="1"/>
  </r>
  <r>
    <n v="8727"/>
    <n v="1978"/>
    <x v="0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x v="0"/>
    <x v="0"/>
    <x v="0"/>
    <x v="0"/>
    <x v="0"/>
    <n v="0"/>
    <n v="3"/>
    <n v="11"/>
    <x v="1"/>
  </r>
  <r>
    <n v="2798"/>
    <n v="1977"/>
    <x v="1"/>
    <s v="Together"/>
    <n v="102160"/>
    <n v="0"/>
    <n v="0"/>
    <d v="2012-11-02T00:00:00"/>
    <n v="54"/>
    <n v="763"/>
    <n v="29"/>
    <n v="138"/>
    <n v="76"/>
    <n v="176"/>
    <n v="58"/>
    <n v="0"/>
    <n v="7"/>
    <n v="9"/>
    <n v="10"/>
    <n v="4"/>
    <x v="0"/>
    <x v="1"/>
    <x v="1"/>
    <x v="1"/>
    <x v="0"/>
    <n v="0"/>
    <n v="3"/>
    <n v="11"/>
    <x v="0"/>
  </r>
  <r>
    <n v="1030"/>
    <n v="1965"/>
    <x v="1"/>
    <s v="Single"/>
    <n v="40637"/>
    <n v="1"/>
    <n v="1"/>
    <d v="2013-07-17T00:00:00"/>
    <n v="72"/>
    <n v="22"/>
    <n v="0"/>
    <n v="13"/>
    <n v="0"/>
    <n v="0"/>
    <n v="3"/>
    <n v="2"/>
    <n v="1"/>
    <n v="0"/>
    <n v="3"/>
    <n v="7"/>
    <x v="0"/>
    <x v="0"/>
    <x v="0"/>
    <x v="0"/>
    <x v="0"/>
    <n v="0"/>
    <n v="3"/>
    <n v="11"/>
    <x v="1"/>
  </r>
  <r>
    <n v="624"/>
    <n v="1984"/>
    <x v="2"/>
    <s v="Single"/>
    <n v="18890"/>
    <n v="0"/>
    <n v="0"/>
    <d v="2012-11-10T00:00:00"/>
    <n v="5"/>
    <n v="6"/>
    <n v="4"/>
    <n v="1"/>
    <n v="7"/>
    <n v="2"/>
    <n v="15"/>
    <n v="1"/>
    <n v="0"/>
    <n v="1"/>
    <n v="2"/>
    <n v="6"/>
    <x v="1"/>
    <x v="0"/>
    <x v="0"/>
    <x v="0"/>
    <x v="0"/>
    <n v="0"/>
    <n v="3"/>
    <n v="11"/>
    <x v="0"/>
  </r>
  <r>
    <n v="5176"/>
    <n v="1988"/>
    <x v="0"/>
    <s v="Together"/>
    <n v="29604"/>
    <n v="1"/>
    <n v="0"/>
    <d v="2013-12-08T00:00:00"/>
    <n v="88"/>
    <n v="7"/>
    <n v="6"/>
    <n v="13"/>
    <n v="7"/>
    <n v="6"/>
    <n v="14"/>
    <n v="1"/>
    <n v="1"/>
    <n v="0"/>
    <n v="3"/>
    <n v="9"/>
    <x v="1"/>
    <x v="0"/>
    <x v="0"/>
    <x v="0"/>
    <x v="0"/>
    <n v="0"/>
    <n v="3"/>
    <n v="11"/>
    <x v="1"/>
  </r>
  <r>
    <n v="5552"/>
    <n v="1963"/>
    <x v="2"/>
    <s v="Divorced"/>
    <n v="48721"/>
    <n v="1"/>
    <n v="1"/>
    <d v="2013-05-13T00:00:00"/>
    <n v="50"/>
    <n v="81"/>
    <n v="18"/>
    <n v="113"/>
    <n v="47"/>
    <n v="13"/>
    <n v="21"/>
    <n v="6"/>
    <n v="4"/>
    <n v="2"/>
    <n v="5"/>
    <n v="6"/>
    <x v="0"/>
    <x v="0"/>
    <x v="0"/>
    <x v="0"/>
    <x v="0"/>
    <n v="0"/>
    <n v="3"/>
    <n v="11"/>
    <x v="1"/>
  </r>
  <r>
    <n v="868"/>
    <n v="1966"/>
    <x v="0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x v="0"/>
    <x v="0"/>
    <x v="0"/>
    <x v="0"/>
    <x v="0"/>
    <n v="0"/>
    <n v="3"/>
    <n v="11"/>
    <x v="1"/>
  </r>
  <r>
    <n v="380"/>
    <n v="1954"/>
    <x v="0"/>
    <s v="Divorced"/>
    <n v="64497"/>
    <n v="0"/>
    <n v="1"/>
    <d v="2012-09-10T00:00:00"/>
    <n v="17"/>
    <n v="1170"/>
    <n v="48"/>
    <n v="320"/>
    <n v="42"/>
    <n v="32"/>
    <n v="192"/>
    <n v="5"/>
    <n v="11"/>
    <n v="4"/>
    <n v="9"/>
    <n v="8"/>
    <x v="1"/>
    <x v="0"/>
    <x v="0"/>
    <x v="0"/>
    <x v="0"/>
    <n v="0"/>
    <n v="3"/>
    <n v="11"/>
    <x v="0"/>
  </r>
  <r>
    <n v="2677"/>
    <n v="1956"/>
    <x v="0"/>
    <s v="Together"/>
    <n v="46097"/>
    <n v="0"/>
    <n v="1"/>
    <d v="2013-03-31T00:00:00"/>
    <n v="11"/>
    <n v="72"/>
    <n v="24"/>
    <n v="68"/>
    <n v="65"/>
    <n v="4"/>
    <n v="8"/>
    <n v="5"/>
    <n v="3"/>
    <n v="1"/>
    <n v="6"/>
    <n v="4"/>
    <x v="0"/>
    <x v="0"/>
    <x v="0"/>
    <x v="0"/>
    <x v="0"/>
    <n v="0"/>
    <n v="3"/>
    <n v="11"/>
    <x v="1"/>
  </r>
  <r>
    <n v="6521"/>
    <n v="1954"/>
    <x v="0"/>
    <s v="Together"/>
    <n v="77972"/>
    <n v="0"/>
    <n v="0"/>
    <d v="2014-03-18T00:00:00"/>
    <n v="18"/>
    <n v="613"/>
    <n v="22"/>
    <n v="319"/>
    <n v="33"/>
    <n v="102"/>
    <n v="12"/>
    <n v="1"/>
    <n v="4"/>
    <n v="6"/>
    <n v="9"/>
    <n v="1"/>
    <x v="0"/>
    <x v="0"/>
    <x v="0"/>
    <x v="0"/>
    <x v="0"/>
    <n v="0"/>
    <n v="3"/>
    <n v="11"/>
    <x v="1"/>
  </r>
  <r>
    <n v="6927"/>
    <n v="1968"/>
    <x v="1"/>
    <s v="Married"/>
    <n v="44377"/>
    <n v="1"/>
    <n v="1"/>
    <d v="2012-10-05T00:00:00"/>
    <n v="70"/>
    <n v="224"/>
    <n v="0"/>
    <n v="30"/>
    <n v="0"/>
    <n v="0"/>
    <n v="10"/>
    <n v="8"/>
    <n v="5"/>
    <n v="1"/>
    <n v="5"/>
    <n v="8"/>
    <x v="0"/>
    <x v="0"/>
    <x v="0"/>
    <x v="0"/>
    <x v="0"/>
    <n v="0"/>
    <n v="3"/>
    <n v="11"/>
    <x v="1"/>
  </r>
  <r>
    <n v="2877"/>
    <n v="1974"/>
    <x v="2"/>
    <s v="Together"/>
    <n v="46014"/>
    <n v="1"/>
    <n v="1"/>
    <d v="2013-01-21T00:00:00"/>
    <n v="21"/>
    <n v="410"/>
    <n v="0"/>
    <n v="59"/>
    <n v="19"/>
    <n v="9"/>
    <n v="44"/>
    <n v="10"/>
    <n v="7"/>
    <n v="1"/>
    <n v="8"/>
    <n v="7"/>
    <x v="0"/>
    <x v="0"/>
    <x v="0"/>
    <x v="0"/>
    <x v="0"/>
    <n v="0"/>
    <n v="3"/>
    <n v="11"/>
    <x v="1"/>
  </r>
  <r>
    <n v="0"/>
    <n v="1985"/>
    <x v="0"/>
    <s v="Married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x v="0"/>
    <x v="0"/>
    <x v="0"/>
    <x v="0"/>
    <x v="0"/>
    <n v="0"/>
    <n v="3"/>
    <n v="11"/>
    <x v="1"/>
  </r>
  <r>
    <n v="1584"/>
    <n v="1977"/>
    <x v="0"/>
    <s v="Married"/>
    <n v="41443"/>
    <n v="1"/>
    <n v="0"/>
    <d v="2014-04-01T00:00:00"/>
    <n v="79"/>
    <n v="171"/>
    <n v="7"/>
    <n v="171"/>
    <n v="25"/>
    <n v="19"/>
    <n v="89"/>
    <n v="6"/>
    <n v="8"/>
    <n v="1"/>
    <n v="5"/>
    <n v="8"/>
    <x v="0"/>
    <x v="0"/>
    <x v="0"/>
    <x v="0"/>
    <x v="0"/>
    <n v="0"/>
    <n v="3"/>
    <n v="11"/>
    <x v="1"/>
  </r>
  <r>
    <n v="7264"/>
    <n v="1978"/>
    <x v="4"/>
    <s v="Single"/>
    <n v="52195"/>
    <n v="2"/>
    <n v="1"/>
    <d v="2014-05-12T00:00:00"/>
    <n v="2"/>
    <n v="12"/>
    <n v="0"/>
    <n v="4"/>
    <n v="0"/>
    <n v="0"/>
    <n v="1"/>
    <n v="1"/>
    <n v="1"/>
    <n v="0"/>
    <n v="2"/>
    <n v="8"/>
    <x v="0"/>
    <x v="0"/>
    <x v="0"/>
    <x v="0"/>
    <x v="0"/>
    <n v="0"/>
    <n v="3"/>
    <n v="11"/>
    <x v="1"/>
  </r>
  <r>
    <n v="6274"/>
    <n v="1948"/>
    <x v="2"/>
    <s v="Married"/>
    <n v="83790"/>
    <n v="0"/>
    <n v="0"/>
    <d v="2013-11-15T00:00:00"/>
    <n v="81"/>
    <n v="1076"/>
    <n v="16"/>
    <n v="417"/>
    <n v="42"/>
    <n v="48"/>
    <n v="16"/>
    <n v="1"/>
    <n v="8"/>
    <n v="10"/>
    <n v="6"/>
    <n v="3"/>
    <x v="0"/>
    <x v="1"/>
    <x v="1"/>
    <x v="0"/>
    <x v="0"/>
    <n v="0"/>
    <n v="3"/>
    <n v="11"/>
    <x v="1"/>
  </r>
  <r>
    <n v="1377"/>
    <n v="1954"/>
    <x v="2"/>
    <s v="Widow"/>
    <n v="44551"/>
    <n v="0"/>
    <n v="1"/>
    <d v="2013-08-31T00:00:00"/>
    <n v="24"/>
    <n v="182"/>
    <n v="4"/>
    <n v="33"/>
    <n v="0"/>
    <n v="0"/>
    <n v="66"/>
    <n v="2"/>
    <n v="4"/>
    <n v="1"/>
    <n v="5"/>
    <n v="7"/>
    <x v="0"/>
    <x v="0"/>
    <x v="0"/>
    <x v="0"/>
    <x v="0"/>
    <n v="0"/>
    <n v="3"/>
    <n v="11"/>
    <x v="1"/>
  </r>
  <r>
    <n v="454"/>
    <n v="1980"/>
    <x v="0"/>
    <s v="Together"/>
    <n v="69508"/>
    <n v="1"/>
    <n v="0"/>
    <d v="2012-11-14T00:00:00"/>
    <n v="48"/>
    <n v="824"/>
    <n v="32"/>
    <n v="162"/>
    <n v="42"/>
    <n v="32"/>
    <n v="43"/>
    <n v="2"/>
    <n v="11"/>
    <n v="4"/>
    <n v="11"/>
    <n v="6"/>
    <x v="0"/>
    <x v="0"/>
    <x v="0"/>
    <x v="0"/>
    <x v="0"/>
    <n v="0"/>
    <n v="3"/>
    <n v="11"/>
    <x v="1"/>
  </r>
  <r>
    <n v="1755"/>
    <n v="1988"/>
    <x v="4"/>
    <s v="Together"/>
    <n v="45204"/>
    <n v="1"/>
    <n v="0"/>
    <d v="2014-04-11T00:00:00"/>
    <n v="93"/>
    <n v="30"/>
    <n v="11"/>
    <n v="25"/>
    <n v="29"/>
    <n v="1"/>
    <n v="18"/>
    <n v="1"/>
    <n v="1"/>
    <n v="1"/>
    <n v="4"/>
    <n v="3"/>
    <x v="0"/>
    <x v="0"/>
    <x v="0"/>
    <x v="0"/>
    <x v="0"/>
    <n v="0"/>
    <n v="3"/>
    <n v="11"/>
    <x v="1"/>
  </r>
  <r>
    <n v="2075"/>
    <n v="1969"/>
    <x v="0"/>
    <s v="Married"/>
    <n v="72460"/>
    <n v="0"/>
    <n v="0"/>
    <d v="2013-11-14T00:00:00"/>
    <n v="56"/>
    <n v="377"/>
    <n v="10"/>
    <n v="540"/>
    <n v="80"/>
    <n v="30"/>
    <n v="10"/>
    <n v="1"/>
    <n v="3"/>
    <n v="5"/>
    <n v="7"/>
    <n v="1"/>
    <x v="0"/>
    <x v="0"/>
    <x v="0"/>
    <x v="0"/>
    <x v="0"/>
    <n v="0"/>
    <n v="3"/>
    <n v="11"/>
    <x v="1"/>
  </r>
  <r>
    <n v="4785"/>
    <n v="1970"/>
    <x v="1"/>
    <s v="Together"/>
    <n v="77622"/>
    <n v="0"/>
    <n v="2"/>
    <d v="2014-04-14T00:00:00"/>
    <n v="3"/>
    <n v="520"/>
    <n v="7"/>
    <n v="154"/>
    <n v="19"/>
    <n v="0"/>
    <n v="14"/>
    <n v="2"/>
    <n v="6"/>
    <n v="3"/>
    <n v="11"/>
    <n v="3"/>
    <x v="0"/>
    <x v="0"/>
    <x v="0"/>
    <x v="0"/>
    <x v="0"/>
    <n v="0"/>
    <n v="3"/>
    <n v="11"/>
    <x v="1"/>
  </r>
  <r>
    <n v="9076"/>
    <n v="1980"/>
    <x v="1"/>
    <s v="Married"/>
    <n v="30732"/>
    <n v="1"/>
    <n v="0"/>
    <d v="2013-01-05T00:00:00"/>
    <n v="44"/>
    <n v="155"/>
    <n v="1"/>
    <n v="25"/>
    <n v="0"/>
    <n v="1"/>
    <n v="3"/>
    <n v="4"/>
    <n v="4"/>
    <n v="1"/>
    <n v="4"/>
    <n v="8"/>
    <x v="0"/>
    <x v="0"/>
    <x v="0"/>
    <x v="0"/>
    <x v="0"/>
    <n v="0"/>
    <n v="3"/>
    <n v="11"/>
    <x v="1"/>
  </r>
  <r>
    <n v="7079"/>
    <n v="1962"/>
    <x v="0"/>
    <s v="Divorced"/>
    <n v="63887"/>
    <n v="0"/>
    <n v="1"/>
    <d v="2012-09-08T00:00:00"/>
    <n v="38"/>
    <n v="897"/>
    <n v="23"/>
    <n v="207"/>
    <n v="15"/>
    <n v="11"/>
    <n v="92"/>
    <n v="5"/>
    <n v="9"/>
    <n v="6"/>
    <n v="12"/>
    <n v="6"/>
    <x v="0"/>
    <x v="0"/>
    <x v="0"/>
    <x v="0"/>
    <x v="0"/>
    <n v="0"/>
    <n v="3"/>
    <n v="11"/>
    <x v="1"/>
  </r>
  <r>
    <n v="4653"/>
    <n v="1978"/>
    <x v="0"/>
    <s v="Together"/>
    <n v="42011"/>
    <n v="1"/>
    <n v="0"/>
    <d v="2013-03-26T00:00:00"/>
    <n v="46"/>
    <n v="131"/>
    <n v="0"/>
    <n v="16"/>
    <n v="2"/>
    <n v="1"/>
    <n v="39"/>
    <n v="4"/>
    <n v="3"/>
    <n v="1"/>
    <n v="4"/>
    <n v="8"/>
    <x v="0"/>
    <x v="0"/>
    <x v="0"/>
    <x v="0"/>
    <x v="0"/>
    <n v="0"/>
    <n v="3"/>
    <n v="11"/>
    <x v="1"/>
  </r>
  <r>
    <n v="7375"/>
    <n v="1976"/>
    <x v="0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x v="0"/>
    <x v="0"/>
    <x v="0"/>
    <x v="0"/>
    <x v="0"/>
    <n v="0"/>
    <n v="3"/>
    <n v="11"/>
    <x v="1"/>
  </r>
  <r>
    <n v="709"/>
    <n v="1952"/>
    <x v="0"/>
    <s v="Divorced"/>
    <n v="51537"/>
    <n v="0"/>
    <n v="1"/>
    <d v="2012-12-09T00:00:00"/>
    <n v="27"/>
    <n v="787"/>
    <n v="20"/>
    <n v="204"/>
    <n v="0"/>
    <n v="0"/>
    <n v="92"/>
    <n v="3"/>
    <n v="2"/>
    <n v="2"/>
    <n v="11"/>
    <n v="8"/>
    <x v="0"/>
    <x v="0"/>
    <x v="0"/>
    <x v="0"/>
    <x v="0"/>
    <n v="0"/>
    <n v="3"/>
    <n v="11"/>
    <x v="1"/>
  </r>
  <r>
    <n v="460"/>
    <n v="1972"/>
    <x v="1"/>
    <s v="Married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x v="0"/>
    <x v="0"/>
    <x v="0"/>
    <x v="0"/>
    <x v="0"/>
    <n v="0"/>
    <n v="3"/>
    <n v="11"/>
    <x v="1"/>
  </r>
  <r>
    <n v="3726"/>
    <n v="1986"/>
    <x v="1"/>
    <s v="Together"/>
    <n v="34320"/>
    <n v="1"/>
    <n v="0"/>
    <d v="2014-02-16T00:00:00"/>
    <n v="66"/>
    <n v="4"/>
    <n v="1"/>
    <n v="9"/>
    <n v="3"/>
    <n v="0"/>
    <n v="0"/>
    <n v="1"/>
    <n v="1"/>
    <n v="0"/>
    <n v="2"/>
    <n v="8"/>
    <x v="0"/>
    <x v="0"/>
    <x v="0"/>
    <x v="0"/>
    <x v="0"/>
    <n v="0"/>
    <n v="3"/>
    <n v="11"/>
    <x v="1"/>
  </r>
  <r>
    <n v="6798"/>
    <n v="1966"/>
    <x v="0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x v="0"/>
    <x v="0"/>
    <x v="0"/>
    <x v="0"/>
    <x v="0"/>
    <n v="0"/>
    <n v="3"/>
    <n v="11"/>
    <x v="0"/>
  </r>
  <r>
    <n v="5341"/>
    <n v="1962"/>
    <x v="4"/>
    <s v="Divorced"/>
    <n v="81975"/>
    <n v="0"/>
    <n v="1"/>
    <d v="2013-01-05T00:00:00"/>
    <n v="2"/>
    <n v="983"/>
    <n v="76"/>
    <n v="184"/>
    <n v="180"/>
    <n v="138"/>
    <n v="27"/>
    <n v="1"/>
    <n v="6"/>
    <n v="3"/>
    <n v="4"/>
    <n v="7"/>
    <x v="0"/>
    <x v="0"/>
    <x v="1"/>
    <x v="0"/>
    <x v="0"/>
    <n v="0"/>
    <n v="3"/>
    <n v="11"/>
    <x v="1"/>
  </r>
  <r>
    <n v="1606"/>
    <n v="1971"/>
    <x v="0"/>
    <s v="Together"/>
    <n v="38590"/>
    <n v="1"/>
    <n v="0"/>
    <d v="2013-05-15T00:00:00"/>
    <n v="65"/>
    <n v="3"/>
    <n v="1"/>
    <n v="8"/>
    <n v="4"/>
    <n v="3"/>
    <n v="3"/>
    <n v="1"/>
    <n v="1"/>
    <n v="0"/>
    <n v="2"/>
    <n v="8"/>
    <x v="0"/>
    <x v="0"/>
    <x v="0"/>
    <x v="0"/>
    <x v="0"/>
    <n v="0"/>
    <n v="3"/>
    <n v="11"/>
    <x v="1"/>
  </r>
  <r>
    <n v="9617"/>
    <n v="1951"/>
    <x v="0"/>
    <s v="Single"/>
    <n v="15033"/>
    <n v="0"/>
    <n v="0"/>
    <d v="2014-04-16T00:00:00"/>
    <n v="37"/>
    <n v="0"/>
    <n v="4"/>
    <n v="5"/>
    <n v="6"/>
    <n v="0"/>
    <n v="4"/>
    <n v="1"/>
    <n v="1"/>
    <n v="0"/>
    <n v="3"/>
    <n v="3"/>
    <x v="0"/>
    <x v="0"/>
    <x v="0"/>
    <x v="0"/>
    <x v="0"/>
    <n v="0"/>
    <n v="3"/>
    <n v="11"/>
    <x v="1"/>
  </r>
  <r>
    <n v="3233"/>
    <n v="1965"/>
    <x v="1"/>
    <s v="Married"/>
    <n v="62745"/>
    <n v="0"/>
    <n v="1"/>
    <d v="2013-03-23T00:00:00"/>
    <n v="89"/>
    <n v="562"/>
    <n v="21"/>
    <n v="464"/>
    <n v="28"/>
    <n v="10"/>
    <n v="32"/>
    <n v="3"/>
    <n v="7"/>
    <n v="8"/>
    <n v="11"/>
    <n v="5"/>
    <x v="0"/>
    <x v="0"/>
    <x v="0"/>
    <x v="0"/>
    <x v="0"/>
    <n v="0"/>
    <n v="3"/>
    <n v="11"/>
    <x v="1"/>
  </r>
  <r>
    <n v="89"/>
    <n v="1975"/>
    <x v="4"/>
    <s v="Married"/>
    <n v="22212"/>
    <n v="1"/>
    <n v="0"/>
    <d v="2013-12-09T00:00:00"/>
    <n v="49"/>
    <n v="5"/>
    <n v="9"/>
    <n v="20"/>
    <n v="6"/>
    <n v="8"/>
    <n v="21"/>
    <n v="2"/>
    <n v="2"/>
    <n v="0"/>
    <n v="4"/>
    <n v="6"/>
    <x v="0"/>
    <x v="0"/>
    <x v="0"/>
    <x v="0"/>
    <x v="0"/>
    <n v="0"/>
    <n v="3"/>
    <n v="11"/>
    <x v="1"/>
  </r>
  <r>
    <n v="2936"/>
    <n v="1982"/>
    <x v="2"/>
    <s v="Together"/>
    <n v="23661"/>
    <n v="1"/>
    <n v="0"/>
    <d v="2013-12-04T00:00:00"/>
    <n v="46"/>
    <n v="18"/>
    <n v="0"/>
    <n v="4"/>
    <n v="0"/>
    <n v="0"/>
    <n v="1"/>
    <n v="1"/>
    <n v="1"/>
    <n v="0"/>
    <n v="3"/>
    <n v="7"/>
    <x v="0"/>
    <x v="0"/>
    <x v="0"/>
    <x v="0"/>
    <x v="0"/>
    <n v="0"/>
    <n v="3"/>
    <n v="11"/>
    <x v="1"/>
  </r>
  <r>
    <n v="9449"/>
    <n v="1958"/>
    <x v="1"/>
    <s v="Single"/>
    <n v="79761"/>
    <n v="0"/>
    <n v="1"/>
    <d v="2013-10-04T00:00:00"/>
    <n v="32"/>
    <n v="415"/>
    <n v="5"/>
    <n v="124"/>
    <n v="15"/>
    <n v="35"/>
    <n v="11"/>
    <n v="1"/>
    <n v="5"/>
    <n v="2"/>
    <n v="11"/>
    <n v="3"/>
    <x v="0"/>
    <x v="0"/>
    <x v="0"/>
    <x v="0"/>
    <x v="0"/>
    <n v="0"/>
    <n v="3"/>
    <n v="11"/>
    <x v="1"/>
  </r>
  <r>
    <n v="7297"/>
    <n v="1973"/>
    <x v="0"/>
    <s v="Single"/>
    <n v="7500"/>
    <n v="1"/>
    <n v="0"/>
    <d v="2013-12-26T00:00:00"/>
    <n v="54"/>
    <n v="5"/>
    <n v="3"/>
    <n v="10"/>
    <n v="12"/>
    <n v="7"/>
    <n v="20"/>
    <n v="4"/>
    <n v="3"/>
    <n v="1"/>
    <n v="3"/>
    <n v="7"/>
    <x v="0"/>
    <x v="0"/>
    <x v="0"/>
    <x v="0"/>
    <x v="0"/>
    <n v="0"/>
    <n v="3"/>
    <n v="11"/>
    <x v="1"/>
  </r>
  <r>
    <n v="11004"/>
    <m/>
    <x v="4"/>
    <s v="Single"/>
    <n v="60182"/>
    <n v="0"/>
    <n v="1"/>
    <d v="2014-05-17T00:00:00"/>
    <n v="23"/>
    <n v="8"/>
    <n v="0"/>
    <n v="5"/>
    <n v="7"/>
    <n v="0"/>
    <n v="2"/>
    <n v="1"/>
    <n v="1"/>
    <n v="0"/>
    <n v="2"/>
    <n v="4"/>
    <x v="0"/>
    <x v="0"/>
    <x v="0"/>
    <x v="0"/>
    <x v="0"/>
    <n v="0"/>
    <n v="3"/>
    <n v="11"/>
    <x v="1"/>
  </r>
  <r>
    <n v="313"/>
    <n v="1968"/>
    <x v="0"/>
    <s v="Widow"/>
    <n v="73455"/>
    <n v="0"/>
    <n v="0"/>
    <d v="2013-10-28T00:00:00"/>
    <n v="98"/>
    <n v="901"/>
    <n v="61"/>
    <n v="757"/>
    <n v="186"/>
    <n v="163"/>
    <n v="20"/>
    <n v="1"/>
    <n v="6"/>
    <n v="5"/>
    <n v="10"/>
    <n v="3"/>
    <x v="0"/>
    <x v="1"/>
    <x v="0"/>
    <x v="0"/>
    <x v="0"/>
    <n v="0"/>
    <n v="3"/>
    <n v="11"/>
    <x v="1"/>
  </r>
  <r>
    <n v="9940"/>
    <n v="1958"/>
    <x v="0"/>
    <s v="Together"/>
    <n v="64961"/>
    <n v="0"/>
    <n v="1"/>
    <d v="2012-12-23T00:00:00"/>
    <n v="97"/>
    <n v="382"/>
    <n v="114"/>
    <n v="276"/>
    <n v="75"/>
    <n v="124"/>
    <n v="38"/>
    <n v="2"/>
    <n v="6"/>
    <n v="4"/>
    <n v="4"/>
    <n v="3"/>
    <x v="0"/>
    <x v="0"/>
    <x v="0"/>
    <x v="0"/>
    <x v="0"/>
    <n v="0"/>
    <n v="3"/>
    <n v="11"/>
    <x v="1"/>
  </r>
  <r>
    <n v="10735"/>
    <n v="1971"/>
    <x v="0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x v="0"/>
    <x v="0"/>
    <x v="0"/>
    <x v="0"/>
    <x v="0"/>
    <n v="0"/>
    <n v="3"/>
    <n v="11"/>
    <x v="1"/>
  </r>
  <r>
    <n v="9529"/>
    <n v="1990"/>
    <x v="0"/>
    <s v="Married"/>
    <n v="73687"/>
    <n v="0"/>
    <n v="0"/>
    <d v="2013-11-28T00:00:00"/>
    <n v="8"/>
    <n v="559"/>
    <n v="153"/>
    <n v="503"/>
    <n v="218"/>
    <n v="13"/>
    <n v="181"/>
    <n v="1"/>
    <n v="3"/>
    <n v="9"/>
    <n v="9"/>
    <n v="2"/>
    <x v="0"/>
    <x v="0"/>
    <x v="0"/>
    <x v="1"/>
    <x v="0"/>
    <n v="0"/>
    <n v="3"/>
    <n v="11"/>
    <x v="0"/>
  </r>
  <r>
    <n v="6439"/>
    <n v="1958"/>
    <x v="0"/>
    <s v="Married"/>
    <n v="61074"/>
    <n v="0"/>
    <n v="1"/>
    <d v="2012-08-17T00:00:00"/>
    <n v="37"/>
    <n v="789"/>
    <n v="0"/>
    <n v="133"/>
    <n v="0"/>
    <n v="28"/>
    <n v="152"/>
    <n v="7"/>
    <n v="11"/>
    <n v="5"/>
    <n v="8"/>
    <n v="7"/>
    <x v="0"/>
    <x v="0"/>
    <x v="0"/>
    <x v="0"/>
    <x v="0"/>
    <n v="0"/>
    <n v="3"/>
    <n v="11"/>
    <x v="1"/>
  </r>
  <r>
    <n v="7411"/>
    <n v="1964"/>
    <x v="1"/>
    <s v="Married"/>
    <n v="31686"/>
    <n v="1"/>
    <n v="1"/>
    <d v="2014-06-05T00:00:00"/>
    <n v="31"/>
    <n v="11"/>
    <n v="0"/>
    <n v="5"/>
    <n v="0"/>
    <n v="0"/>
    <n v="1"/>
    <n v="2"/>
    <n v="1"/>
    <n v="0"/>
    <n v="3"/>
    <n v="6"/>
    <x v="0"/>
    <x v="0"/>
    <x v="0"/>
    <x v="0"/>
    <x v="0"/>
    <n v="0"/>
    <n v="3"/>
    <n v="11"/>
    <x v="1"/>
  </r>
  <r>
    <n v="2176"/>
    <n v="1972"/>
    <x v="0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x v="0"/>
    <x v="1"/>
    <x v="1"/>
    <x v="1"/>
    <x v="0"/>
    <n v="0"/>
    <n v="3"/>
    <n v="11"/>
    <x v="0"/>
  </r>
  <r>
    <n v="9265"/>
    <n v="1953"/>
    <x v="0"/>
    <s v="Married"/>
    <n v="75027"/>
    <n v="0"/>
    <n v="1"/>
    <d v="2013-01-09T00:00:00"/>
    <n v="74"/>
    <n v="925"/>
    <n v="64"/>
    <n v="179"/>
    <n v="133"/>
    <n v="12"/>
    <n v="77"/>
    <n v="2"/>
    <n v="9"/>
    <n v="4"/>
    <n v="6"/>
    <n v="5"/>
    <x v="0"/>
    <x v="0"/>
    <x v="0"/>
    <x v="0"/>
    <x v="0"/>
    <n v="0"/>
    <n v="3"/>
    <n v="11"/>
    <x v="1"/>
  </r>
  <r>
    <n v="8867"/>
    <n v="1988"/>
    <x v="1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x v="0"/>
    <x v="0"/>
    <x v="0"/>
    <x v="0"/>
    <x v="0"/>
    <n v="0"/>
    <n v="3"/>
    <n v="11"/>
    <x v="1"/>
  </r>
  <r>
    <n v="8932"/>
    <n v="1969"/>
    <x v="2"/>
    <s v="Together"/>
    <n v="65176"/>
    <n v="0"/>
    <n v="1"/>
    <d v="2012-10-29T00:00:00"/>
    <n v="57"/>
    <n v="960"/>
    <n v="28"/>
    <n v="183"/>
    <n v="220"/>
    <n v="70"/>
    <n v="70"/>
    <n v="4"/>
    <n v="9"/>
    <n v="6"/>
    <n v="6"/>
    <n v="6"/>
    <x v="0"/>
    <x v="0"/>
    <x v="0"/>
    <x v="0"/>
    <x v="0"/>
    <n v="0"/>
    <n v="3"/>
    <n v="11"/>
    <x v="1"/>
  </r>
  <r>
    <n v="10236"/>
    <n v="1975"/>
    <x v="2"/>
    <s v="Single"/>
    <n v="31160"/>
    <n v="1"/>
    <n v="0"/>
    <d v="2013-09-16T00:00:00"/>
    <n v="59"/>
    <n v="16"/>
    <n v="3"/>
    <n v="25"/>
    <n v="6"/>
    <n v="1"/>
    <n v="13"/>
    <n v="2"/>
    <n v="2"/>
    <n v="0"/>
    <n v="3"/>
    <n v="8"/>
    <x v="0"/>
    <x v="0"/>
    <x v="0"/>
    <x v="0"/>
    <x v="0"/>
    <n v="0"/>
    <n v="3"/>
    <n v="11"/>
    <x v="1"/>
  </r>
  <r>
    <n v="6340"/>
    <n v="1985"/>
    <x v="0"/>
    <s v="Single"/>
    <n v="29938"/>
    <n v="1"/>
    <n v="0"/>
    <d v="2013-10-27T00:00:00"/>
    <n v="52"/>
    <n v="3"/>
    <n v="3"/>
    <n v="7"/>
    <n v="0"/>
    <n v="2"/>
    <n v="11"/>
    <n v="2"/>
    <n v="1"/>
    <n v="0"/>
    <n v="3"/>
    <n v="6"/>
    <x v="0"/>
    <x v="0"/>
    <x v="0"/>
    <x v="0"/>
    <x v="0"/>
    <n v="0"/>
    <n v="3"/>
    <n v="11"/>
    <x v="1"/>
  </r>
  <r>
    <n v="10089"/>
    <n v="1974"/>
    <x v="0"/>
    <s v="Divorced"/>
    <n v="102692"/>
    <n v="0"/>
    <n v="0"/>
    <d v="2013-04-05T00:00:00"/>
    <n v="5"/>
    <n v="168"/>
    <n v="148"/>
    <n v="444"/>
    <n v="32"/>
    <n v="172"/>
    <n v="148"/>
    <n v="1"/>
    <n v="6"/>
    <n v="9"/>
    <n v="13"/>
    <n v="2"/>
    <x v="0"/>
    <x v="1"/>
    <x v="1"/>
    <x v="1"/>
    <x v="1"/>
    <n v="0"/>
    <n v="3"/>
    <n v="11"/>
    <x v="0"/>
  </r>
  <r>
    <n v="2227"/>
    <n v="1958"/>
    <x v="4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x v="0"/>
    <x v="0"/>
    <x v="0"/>
    <x v="0"/>
    <x v="0"/>
    <n v="0"/>
    <n v="3"/>
    <n v="11"/>
    <x v="1"/>
  </r>
  <r>
    <n v="10992"/>
    <n v="1967"/>
    <x v="0"/>
    <s v="Together"/>
    <n v="75702"/>
    <n v="1"/>
    <n v="1"/>
    <d v="2012-08-29T00:00:00"/>
    <n v="77"/>
    <n v="650"/>
    <n v="28"/>
    <n v="353"/>
    <n v="45"/>
    <n v="42"/>
    <n v="30"/>
    <n v="5"/>
    <n v="4"/>
    <n v="6"/>
    <n v="11"/>
    <n v="8"/>
    <x v="0"/>
    <x v="0"/>
    <x v="0"/>
    <x v="0"/>
    <x v="0"/>
    <n v="0"/>
    <n v="3"/>
    <n v="11"/>
    <x v="1"/>
  </r>
  <r>
    <n v="5304"/>
    <n v="1974"/>
    <x v="1"/>
    <s v="Single"/>
    <n v="30899"/>
    <n v="1"/>
    <n v="0"/>
    <d v="2012-10-13T00:00:00"/>
    <n v="35"/>
    <n v="24"/>
    <n v="0"/>
    <n v="8"/>
    <n v="0"/>
    <n v="0"/>
    <n v="1"/>
    <n v="2"/>
    <n v="1"/>
    <n v="0"/>
    <n v="3"/>
    <n v="6"/>
    <x v="0"/>
    <x v="0"/>
    <x v="0"/>
    <x v="0"/>
    <x v="0"/>
    <n v="0"/>
    <n v="3"/>
    <n v="11"/>
    <x v="1"/>
  </r>
  <r>
    <n v="309"/>
    <n v="1961"/>
    <x v="1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x v="0"/>
    <x v="1"/>
    <x v="0"/>
    <x v="0"/>
    <x v="0"/>
    <n v="0"/>
    <n v="3"/>
    <n v="11"/>
    <x v="1"/>
  </r>
  <r>
    <n v="3406"/>
    <n v="1964"/>
    <x v="0"/>
    <s v="Single"/>
    <n v="45989"/>
    <n v="0"/>
    <n v="1"/>
    <d v="2012-10-22T00:00:00"/>
    <n v="97"/>
    <n v="138"/>
    <n v="33"/>
    <n v="87"/>
    <n v="28"/>
    <n v="24"/>
    <n v="12"/>
    <n v="4"/>
    <n v="3"/>
    <n v="2"/>
    <n v="7"/>
    <n v="3"/>
    <x v="0"/>
    <x v="0"/>
    <x v="0"/>
    <x v="0"/>
    <x v="0"/>
    <n v="0"/>
    <n v="3"/>
    <n v="11"/>
    <x v="1"/>
  </r>
  <r>
    <n v="2661"/>
    <n v="1964"/>
    <x v="0"/>
    <s v="Single"/>
    <n v="18701"/>
    <n v="1"/>
    <n v="1"/>
    <d v="2013-06-04T00:00:00"/>
    <n v="95"/>
    <n v="12"/>
    <n v="4"/>
    <n v="2"/>
    <n v="10"/>
    <n v="6"/>
    <n v="10"/>
    <n v="4"/>
    <n v="2"/>
    <n v="0"/>
    <n v="4"/>
    <n v="5"/>
    <x v="0"/>
    <x v="0"/>
    <x v="0"/>
    <x v="0"/>
    <x v="0"/>
    <n v="0"/>
    <n v="3"/>
    <n v="11"/>
    <x v="1"/>
  </r>
  <r>
    <n v="3153"/>
    <n v="1957"/>
    <x v="1"/>
    <s v="Single"/>
    <n v="40737"/>
    <n v="2"/>
    <n v="1"/>
    <d v="2013-12-08T00:00:00"/>
    <n v="24"/>
    <n v="11"/>
    <n v="0"/>
    <n v="4"/>
    <n v="0"/>
    <n v="0"/>
    <n v="2"/>
    <n v="1"/>
    <n v="1"/>
    <n v="0"/>
    <n v="2"/>
    <n v="8"/>
    <x v="0"/>
    <x v="0"/>
    <x v="0"/>
    <x v="0"/>
    <x v="0"/>
    <n v="0"/>
    <n v="3"/>
    <n v="11"/>
    <x v="1"/>
  </r>
  <r>
    <n v="10264"/>
    <n v="1979"/>
    <x v="0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x v="1"/>
    <x v="0"/>
    <x v="0"/>
    <x v="0"/>
    <x v="0"/>
    <n v="0"/>
    <n v="3"/>
    <n v="11"/>
    <x v="0"/>
  </r>
  <r>
    <n v="1184"/>
    <n v="1968"/>
    <x v="1"/>
    <s v="Divorced"/>
    <n v="69674"/>
    <n v="0"/>
    <n v="2"/>
    <d v="2013-05-22T00:00:00"/>
    <n v="46"/>
    <n v="554"/>
    <n v="41"/>
    <n v="215"/>
    <n v="11"/>
    <n v="0"/>
    <n v="24"/>
    <n v="3"/>
    <n v="10"/>
    <n v="2"/>
    <n v="10"/>
    <n v="5"/>
    <x v="0"/>
    <x v="0"/>
    <x v="0"/>
    <x v="0"/>
    <x v="0"/>
    <n v="0"/>
    <n v="3"/>
    <n v="11"/>
    <x v="1"/>
  </r>
  <r>
    <n v="4200"/>
    <n v="1970"/>
    <x v="2"/>
    <s v="Married"/>
    <n v="44159"/>
    <n v="1"/>
    <n v="0"/>
    <d v="2014-06-17T00:00:00"/>
    <n v="85"/>
    <n v="167"/>
    <n v="2"/>
    <n v="62"/>
    <n v="24"/>
    <n v="13"/>
    <n v="7"/>
    <n v="4"/>
    <n v="4"/>
    <n v="1"/>
    <n v="6"/>
    <n v="5"/>
    <x v="0"/>
    <x v="0"/>
    <x v="0"/>
    <x v="0"/>
    <x v="0"/>
    <n v="0"/>
    <n v="3"/>
    <n v="11"/>
    <x v="1"/>
  </r>
  <r>
    <n v="9396"/>
    <n v="1978"/>
    <x v="1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x v="0"/>
    <x v="0"/>
    <x v="0"/>
    <x v="0"/>
    <x v="0"/>
    <n v="0"/>
    <n v="3"/>
    <n v="11"/>
    <x v="1"/>
  </r>
  <r>
    <n v="2387"/>
    <n v="1952"/>
    <x v="2"/>
    <s v="Together"/>
    <n v="43776"/>
    <n v="1"/>
    <n v="1"/>
    <d v="2013-02-03T00:00:00"/>
    <n v="9"/>
    <n v="177"/>
    <n v="2"/>
    <n v="71"/>
    <n v="3"/>
    <n v="2"/>
    <n v="20"/>
    <n v="6"/>
    <n v="5"/>
    <n v="2"/>
    <n v="4"/>
    <n v="8"/>
    <x v="0"/>
    <x v="0"/>
    <x v="0"/>
    <x v="0"/>
    <x v="0"/>
    <n v="0"/>
    <n v="3"/>
    <n v="11"/>
    <x v="0"/>
  </r>
  <r>
    <n v="6690"/>
    <n v="1966"/>
    <x v="2"/>
    <s v="Married"/>
    <n v="38179"/>
    <n v="1"/>
    <n v="1"/>
    <d v="2013-03-14T00:00:00"/>
    <n v="30"/>
    <n v="38"/>
    <n v="4"/>
    <n v="22"/>
    <n v="4"/>
    <n v="2"/>
    <n v="20"/>
    <n v="4"/>
    <n v="3"/>
    <n v="1"/>
    <n v="3"/>
    <n v="7"/>
    <x v="0"/>
    <x v="0"/>
    <x v="0"/>
    <x v="0"/>
    <x v="0"/>
    <n v="0"/>
    <n v="3"/>
    <n v="11"/>
    <x v="1"/>
  </r>
  <r>
    <n v="1225"/>
    <n v="1963"/>
    <x v="0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x v="1"/>
    <x v="0"/>
    <x v="0"/>
    <x v="0"/>
    <x v="0"/>
    <n v="0"/>
    <n v="3"/>
    <n v="11"/>
    <x v="1"/>
  </r>
  <r>
    <n v="9703"/>
    <n v="1970"/>
    <x v="1"/>
    <s v="Married"/>
    <n v="38097"/>
    <n v="1"/>
    <n v="1"/>
    <d v="2012-10-15T00:00:00"/>
    <n v="70"/>
    <n v="77"/>
    <n v="2"/>
    <n v="35"/>
    <n v="0"/>
    <n v="1"/>
    <n v="69"/>
    <n v="4"/>
    <n v="3"/>
    <n v="2"/>
    <n v="2"/>
    <n v="7"/>
    <x v="1"/>
    <x v="0"/>
    <x v="0"/>
    <x v="0"/>
    <x v="0"/>
    <n v="0"/>
    <n v="3"/>
    <n v="11"/>
    <x v="0"/>
  </r>
  <r>
    <n v="291"/>
    <n v="1970"/>
    <x v="0"/>
    <s v="Married"/>
    <n v="72940"/>
    <n v="0"/>
    <n v="0"/>
    <d v="2013-06-19T00:00:00"/>
    <n v="13"/>
    <n v="182"/>
    <n v="74"/>
    <n v="298"/>
    <n v="162"/>
    <n v="149"/>
    <n v="116"/>
    <n v="1"/>
    <n v="3"/>
    <n v="3"/>
    <n v="6"/>
    <n v="1"/>
    <x v="0"/>
    <x v="0"/>
    <x v="0"/>
    <x v="0"/>
    <x v="0"/>
    <n v="0"/>
    <n v="3"/>
    <n v="11"/>
    <x v="1"/>
  </r>
  <r>
    <n v="4557"/>
    <n v="1970"/>
    <x v="0"/>
    <s v="Together"/>
    <n v="22070"/>
    <n v="1"/>
    <n v="0"/>
    <d v="2013-10-04T00:00:00"/>
    <n v="11"/>
    <n v="10"/>
    <n v="7"/>
    <n v="19"/>
    <n v="8"/>
    <n v="2"/>
    <n v="21"/>
    <n v="2"/>
    <n v="2"/>
    <n v="2"/>
    <n v="2"/>
    <n v="6"/>
    <x v="0"/>
    <x v="0"/>
    <x v="0"/>
    <x v="0"/>
    <x v="0"/>
    <n v="0"/>
    <n v="3"/>
    <n v="11"/>
    <x v="1"/>
  </r>
  <r>
    <n v="2379"/>
    <n v="1953"/>
    <x v="0"/>
    <s v="Single"/>
    <n v="69267"/>
    <n v="0"/>
    <n v="0"/>
    <d v="2012-09-22T00:00:00"/>
    <n v="31"/>
    <n v="778"/>
    <n v="44"/>
    <n v="499"/>
    <n v="95"/>
    <n v="73"/>
    <n v="146"/>
    <n v="2"/>
    <n v="3"/>
    <n v="4"/>
    <n v="5"/>
    <n v="7"/>
    <x v="0"/>
    <x v="0"/>
    <x v="0"/>
    <x v="0"/>
    <x v="0"/>
    <n v="0"/>
    <n v="3"/>
    <n v="11"/>
    <x v="0"/>
  </r>
  <r>
    <n v="5726"/>
    <n v="1983"/>
    <x v="2"/>
    <s v="Single"/>
    <n v="31788"/>
    <n v="1"/>
    <n v="0"/>
    <d v="2014-03-20T00:00:00"/>
    <n v="15"/>
    <n v="16"/>
    <n v="7"/>
    <n v="23"/>
    <n v="0"/>
    <n v="8"/>
    <n v="6"/>
    <n v="3"/>
    <n v="3"/>
    <n v="0"/>
    <n v="4"/>
    <n v="5"/>
    <x v="0"/>
    <x v="0"/>
    <x v="0"/>
    <x v="0"/>
    <x v="0"/>
    <n v="1"/>
    <n v="3"/>
    <n v="11"/>
    <x v="1"/>
  </r>
  <r>
    <n v="3066"/>
    <n v="1975"/>
    <x v="1"/>
    <s v="Together"/>
    <n v="61905"/>
    <n v="0"/>
    <n v="1"/>
    <d v="2014-02-04T00:00:00"/>
    <n v="2"/>
    <n v="167"/>
    <n v="0"/>
    <n v="43"/>
    <n v="6"/>
    <n v="2"/>
    <n v="13"/>
    <n v="2"/>
    <n v="4"/>
    <n v="2"/>
    <n v="4"/>
    <n v="5"/>
    <x v="0"/>
    <x v="0"/>
    <x v="0"/>
    <x v="0"/>
    <x v="0"/>
    <n v="0"/>
    <n v="3"/>
    <n v="11"/>
    <x v="1"/>
  </r>
  <r>
    <n v="6336"/>
    <n v="1960"/>
    <x v="0"/>
    <s v="Married"/>
    <n v="29315"/>
    <n v="1"/>
    <n v="1"/>
    <d v="2014-04-06T00:00:00"/>
    <n v="55"/>
    <n v="13"/>
    <n v="2"/>
    <n v="14"/>
    <n v="8"/>
    <n v="7"/>
    <n v="4"/>
    <n v="4"/>
    <n v="2"/>
    <n v="0"/>
    <n v="4"/>
    <n v="6"/>
    <x v="0"/>
    <x v="0"/>
    <x v="0"/>
    <x v="0"/>
    <x v="0"/>
    <n v="0"/>
    <n v="3"/>
    <n v="11"/>
    <x v="1"/>
  </r>
  <r>
    <n v="10967"/>
    <n v="1963"/>
    <x v="0"/>
    <s v="Divorced"/>
    <n v="33378"/>
    <n v="1"/>
    <n v="1"/>
    <d v="2013-02-06T00:00:00"/>
    <n v="38"/>
    <n v="33"/>
    <n v="6"/>
    <n v="40"/>
    <n v="3"/>
    <n v="7"/>
    <n v="10"/>
    <n v="3"/>
    <n v="2"/>
    <n v="0"/>
    <n v="4"/>
    <n v="7"/>
    <x v="0"/>
    <x v="0"/>
    <x v="0"/>
    <x v="0"/>
    <x v="0"/>
    <n v="0"/>
    <n v="3"/>
    <n v="11"/>
    <x v="1"/>
  </r>
  <r>
    <n v="2304"/>
    <n v="1963"/>
    <x v="1"/>
    <s v="Together"/>
    <n v="66313"/>
    <n v="0"/>
    <n v="1"/>
    <d v="2013-09-16T00:00:00"/>
    <n v="86"/>
    <n v="625"/>
    <n v="7"/>
    <n v="99"/>
    <n v="10"/>
    <n v="22"/>
    <n v="7"/>
    <n v="2"/>
    <n v="6"/>
    <n v="3"/>
    <n v="12"/>
    <n v="4"/>
    <x v="0"/>
    <x v="0"/>
    <x v="0"/>
    <x v="0"/>
    <x v="0"/>
    <n v="0"/>
    <n v="3"/>
    <n v="11"/>
    <x v="1"/>
  </r>
  <r>
    <n v="3445"/>
    <n v="1956"/>
    <x v="0"/>
    <s v="Single"/>
    <n v="60714"/>
    <n v="0"/>
    <n v="0"/>
    <d v="2013-01-17T00:00:00"/>
    <n v="56"/>
    <n v="216"/>
    <n v="162"/>
    <n v="224"/>
    <n v="101"/>
    <n v="92"/>
    <n v="162"/>
    <n v="2"/>
    <n v="7"/>
    <n v="4"/>
    <n v="10"/>
    <n v="5"/>
    <x v="0"/>
    <x v="0"/>
    <x v="0"/>
    <x v="0"/>
    <x v="0"/>
    <n v="0"/>
    <n v="3"/>
    <n v="11"/>
    <x v="0"/>
  </r>
  <r>
    <n v="7828"/>
    <n v="1981"/>
    <x v="2"/>
    <s v="Together"/>
    <n v="77882"/>
    <n v="0"/>
    <n v="0"/>
    <d v="2014-04-30T00:00:00"/>
    <n v="29"/>
    <n v="68"/>
    <n v="129"/>
    <n v="396"/>
    <n v="188"/>
    <n v="22"/>
    <n v="15"/>
    <n v="1"/>
    <n v="3"/>
    <n v="3"/>
    <n v="5"/>
    <n v="1"/>
    <x v="0"/>
    <x v="0"/>
    <x v="0"/>
    <x v="0"/>
    <x v="0"/>
    <n v="0"/>
    <n v="3"/>
    <n v="11"/>
    <x v="1"/>
  </r>
  <r>
    <n v="3762"/>
    <n v="1986"/>
    <x v="1"/>
    <s v="Single"/>
    <n v="69867"/>
    <n v="0"/>
    <n v="0"/>
    <d v="2013-04-02T00:00:00"/>
    <n v="30"/>
    <n v="196"/>
    <n v="0"/>
    <n v="512"/>
    <n v="33"/>
    <n v="130"/>
    <n v="54"/>
    <n v="1"/>
    <n v="3"/>
    <n v="5"/>
    <n v="8"/>
    <n v="1"/>
    <x v="0"/>
    <x v="0"/>
    <x v="0"/>
    <x v="1"/>
    <x v="0"/>
    <n v="0"/>
    <n v="3"/>
    <n v="11"/>
    <x v="0"/>
  </r>
  <r>
    <n v="4391"/>
    <n v="1968"/>
    <x v="2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x v="0"/>
    <x v="0"/>
    <x v="0"/>
    <x v="0"/>
    <x v="0"/>
    <n v="0"/>
    <n v="3"/>
    <n v="11"/>
    <x v="1"/>
  </r>
  <r>
    <n v="4669"/>
    <n v="1981"/>
    <x v="3"/>
    <s v="Married"/>
    <n v="24480"/>
    <n v="1"/>
    <n v="0"/>
    <d v="2013-02-11T00:00:00"/>
    <n v="46"/>
    <n v="4"/>
    <n v="19"/>
    <n v="9"/>
    <n v="28"/>
    <n v="25"/>
    <n v="17"/>
    <n v="3"/>
    <n v="3"/>
    <n v="0"/>
    <n v="4"/>
    <n v="7"/>
    <x v="0"/>
    <x v="0"/>
    <x v="0"/>
    <x v="0"/>
    <x v="0"/>
    <n v="0"/>
    <n v="3"/>
    <n v="11"/>
    <x v="1"/>
  </r>
  <r>
    <n v="10144"/>
    <n v="1976"/>
    <x v="0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x v="0"/>
    <x v="0"/>
    <x v="0"/>
    <x v="0"/>
    <x v="0"/>
    <n v="0"/>
    <n v="3"/>
    <n v="11"/>
    <x v="1"/>
  </r>
  <r>
    <n v="8652"/>
    <n v="1946"/>
    <x v="0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x v="0"/>
    <x v="0"/>
    <x v="0"/>
    <x v="0"/>
    <x v="0"/>
    <n v="0"/>
    <n v="3"/>
    <n v="11"/>
    <x v="1"/>
  </r>
  <r>
    <n v="1672"/>
    <n v="1974"/>
    <x v="1"/>
    <s v="Together"/>
    <n v="65640"/>
    <n v="0"/>
    <n v="1"/>
    <d v="2014-03-01T00:00:00"/>
    <n v="74"/>
    <n v="204"/>
    <n v="7"/>
    <n v="149"/>
    <n v="20"/>
    <n v="15"/>
    <n v="66"/>
    <n v="1"/>
    <n v="5"/>
    <n v="1"/>
    <n v="8"/>
    <n v="2"/>
    <x v="0"/>
    <x v="0"/>
    <x v="0"/>
    <x v="0"/>
    <x v="0"/>
    <n v="0"/>
    <n v="3"/>
    <n v="11"/>
    <x v="1"/>
  </r>
  <r>
    <n v="8962"/>
    <n v="1975"/>
    <x v="2"/>
    <s v="Married"/>
    <n v="44319"/>
    <n v="1"/>
    <n v="1"/>
    <d v="2014-04-17T00:00:00"/>
    <n v="18"/>
    <n v="26"/>
    <n v="0"/>
    <n v="8"/>
    <n v="0"/>
    <n v="0"/>
    <n v="3"/>
    <n v="2"/>
    <n v="2"/>
    <n v="0"/>
    <n v="3"/>
    <n v="5"/>
    <x v="0"/>
    <x v="0"/>
    <x v="0"/>
    <x v="0"/>
    <x v="0"/>
    <n v="0"/>
    <n v="3"/>
    <n v="11"/>
    <x v="1"/>
  </r>
  <r>
    <n v="9974"/>
    <n v="1974"/>
    <x v="0"/>
    <s v="Married"/>
    <n v="30631"/>
    <n v="1"/>
    <n v="0"/>
    <d v="2013-07-12T00:00:00"/>
    <n v="75"/>
    <n v="15"/>
    <n v="6"/>
    <n v="20"/>
    <n v="4"/>
    <n v="5"/>
    <n v="20"/>
    <n v="1"/>
    <n v="3"/>
    <n v="1"/>
    <n v="2"/>
    <n v="7"/>
    <x v="0"/>
    <x v="0"/>
    <x v="0"/>
    <x v="0"/>
    <x v="0"/>
    <n v="0"/>
    <n v="3"/>
    <n v="11"/>
    <x v="1"/>
  </r>
  <r>
    <n v="10983"/>
    <n v="1952"/>
    <x v="0"/>
    <s v="Together"/>
    <n v="75278"/>
    <n v="0"/>
    <n v="0"/>
    <d v="2013-01-29T00:00:00"/>
    <n v="17"/>
    <n v="304"/>
    <n v="98"/>
    <n v="230"/>
    <n v="150"/>
    <n v="74"/>
    <n v="74"/>
    <n v="1"/>
    <n v="6"/>
    <n v="3"/>
    <n v="13"/>
    <n v="3"/>
    <x v="0"/>
    <x v="0"/>
    <x v="0"/>
    <x v="0"/>
    <x v="0"/>
    <n v="0"/>
    <n v="3"/>
    <n v="11"/>
    <x v="1"/>
  </r>
  <r>
    <n v="8148"/>
    <n v="1956"/>
    <x v="2"/>
    <s v="Together"/>
    <n v="50898"/>
    <n v="1"/>
    <n v="1"/>
    <d v="2013-01-08T00:00:00"/>
    <n v="88"/>
    <n v="285"/>
    <n v="28"/>
    <n v="242"/>
    <n v="55"/>
    <n v="114"/>
    <n v="135"/>
    <n v="13"/>
    <n v="6"/>
    <n v="2"/>
    <n v="12"/>
    <n v="5"/>
    <x v="0"/>
    <x v="0"/>
    <x v="0"/>
    <x v="0"/>
    <x v="0"/>
    <n v="0"/>
    <n v="3"/>
    <n v="11"/>
    <x v="1"/>
  </r>
  <r>
    <n v="10102"/>
    <n v="1966"/>
    <x v="0"/>
    <s v="Widow"/>
    <n v="79946"/>
    <n v="0"/>
    <n v="0"/>
    <d v="2014-05-12T00:00:00"/>
    <n v="19"/>
    <n v="395"/>
    <n v="183"/>
    <n v="565"/>
    <n v="166"/>
    <n v="141"/>
    <n v="28"/>
    <n v="1"/>
    <n v="5"/>
    <n v="11"/>
    <n v="5"/>
    <n v="3"/>
    <x v="0"/>
    <x v="0"/>
    <x v="0"/>
    <x v="0"/>
    <x v="0"/>
    <n v="0"/>
    <n v="3"/>
    <n v="11"/>
    <x v="1"/>
  </r>
  <r>
    <n v="4697"/>
    <n v="1949"/>
    <x v="2"/>
    <s v="Divorced"/>
    <n v="35416"/>
    <n v="0"/>
    <n v="0"/>
    <d v="2013-06-13T00:00:00"/>
    <n v="62"/>
    <n v="248"/>
    <n v="3"/>
    <n v="81"/>
    <n v="4"/>
    <n v="3"/>
    <n v="51"/>
    <n v="3"/>
    <n v="7"/>
    <n v="1"/>
    <n v="5"/>
    <n v="8"/>
    <x v="0"/>
    <x v="0"/>
    <x v="0"/>
    <x v="0"/>
    <x v="0"/>
    <n v="0"/>
    <n v="3"/>
    <n v="11"/>
    <x v="1"/>
  </r>
  <r>
    <n v="9262"/>
    <n v="1984"/>
    <x v="4"/>
    <s v="Together"/>
    <n v="32414"/>
    <n v="0"/>
    <n v="0"/>
    <d v="2013-07-04T00:00:00"/>
    <n v="11"/>
    <n v="20"/>
    <n v="6"/>
    <n v="5"/>
    <n v="0"/>
    <n v="9"/>
    <n v="12"/>
    <n v="1"/>
    <n v="1"/>
    <n v="0"/>
    <n v="3"/>
    <n v="7"/>
    <x v="1"/>
    <x v="0"/>
    <x v="0"/>
    <x v="0"/>
    <x v="0"/>
    <n v="0"/>
    <n v="3"/>
    <n v="11"/>
    <x v="1"/>
  </r>
  <r>
    <n v="7254"/>
    <n v="1969"/>
    <x v="0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x v="0"/>
    <x v="0"/>
    <x v="0"/>
    <x v="0"/>
    <x v="0"/>
    <n v="0"/>
    <n v="3"/>
    <n v="11"/>
    <x v="1"/>
  </r>
  <r>
    <n v="4543"/>
    <n v="1980"/>
    <x v="0"/>
    <s v="Married"/>
    <n v="82497"/>
    <n v="0"/>
    <n v="0"/>
    <d v="2012-10-31T00:00:00"/>
    <n v="32"/>
    <n v="777"/>
    <n v="129"/>
    <n v="573"/>
    <n v="216"/>
    <n v="21"/>
    <n v="203"/>
    <n v="1"/>
    <n v="2"/>
    <n v="7"/>
    <n v="9"/>
    <n v="4"/>
    <x v="0"/>
    <x v="0"/>
    <x v="1"/>
    <x v="0"/>
    <x v="0"/>
    <n v="0"/>
    <n v="3"/>
    <n v="11"/>
    <x v="1"/>
  </r>
  <r>
    <n v="4927"/>
    <n v="1971"/>
    <x v="0"/>
    <s v="Together"/>
    <n v="16626"/>
    <n v="2"/>
    <n v="0"/>
    <d v="2014-01-15T00:00:00"/>
    <n v="76"/>
    <n v="8"/>
    <n v="3"/>
    <n v="22"/>
    <n v="21"/>
    <n v="1"/>
    <n v="13"/>
    <n v="3"/>
    <n v="3"/>
    <n v="0"/>
    <n v="3"/>
    <n v="9"/>
    <x v="0"/>
    <x v="0"/>
    <x v="0"/>
    <x v="0"/>
    <x v="0"/>
    <n v="0"/>
    <n v="3"/>
    <n v="11"/>
    <x v="1"/>
  </r>
  <r>
    <n v="10451"/>
    <n v="1965"/>
    <x v="0"/>
    <s v="Together"/>
    <n v="29672"/>
    <n v="1"/>
    <n v="1"/>
    <d v="2013-03-12T00:00:00"/>
    <n v="6"/>
    <n v="9"/>
    <n v="1"/>
    <n v="3"/>
    <n v="0"/>
    <n v="4"/>
    <n v="8"/>
    <n v="1"/>
    <n v="0"/>
    <n v="0"/>
    <n v="3"/>
    <n v="6"/>
    <x v="0"/>
    <x v="0"/>
    <x v="0"/>
    <x v="0"/>
    <x v="0"/>
    <n v="0"/>
    <n v="3"/>
    <n v="11"/>
    <x v="1"/>
  </r>
  <r>
    <n v="2926"/>
    <n v="1952"/>
    <x v="2"/>
    <s v="Together"/>
    <n v="55951"/>
    <n v="0"/>
    <n v="1"/>
    <d v="2012-08-23T00:00:00"/>
    <n v="62"/>
    <n v="1241"/>
    <n v="0"/>
    <n v="80"/>
    <n v="0"/>
    <n v="13"/>
    <n v="40"/>
    <n v="3"/>
    <n v="3"/>
    <n v="6"/>
    <n v="11"/>
    <n v="8"/>
    <x v="0"/>
    <x v="1"/>
    <x v="0"/>
    <x v="0"/>
    <x v="1"/>
    <n v="0"/>
    <n v="3"/>
    <n v="11"/>
    <x v="1"/>
  </r>
  <r>
    <n v="2874"/>
    <n v="1988"/>
    <x v="4"/>
    <s v="Divorced"/>
    <n v="35388"/>
    <n v="1"/>
    <n v="0"/>
    <d v="2013-03-07T00:00:00"/>
    <n v="20"/>
    <n v="6"/>
    <n v="4"/>
    <n v="7"/>
    <n v="4"/>
    <n v="3"/>
    <n v="8"/>
    <n v="1"/>
    <n v="1"/>
    <n v="0"/>
    <n v="3"/>
    <n v="7"/>
    <x v="0"/>
    <x v="0"/>
    <x v="0"/>
    <x v="0"/>
    <x v="0"/>
    <n v="0"/>
    <n v="3"/>
    <n v="11"/>
    <x v="1"/>
  </r>
  <r>
    <n v="9738"/>
    <n v="1986"/>
    <x v="2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x v="0"/>
    <x v="0"/>
    <x v="0"/>
    <x v="0"/>
    <x v="0"/>
    <n v="0"/>
    <n v="3"/>
    <n v="11"/>
    <x v="1"/>
  </r>
  <r>
    <n v="7119"/>
    <n v="1982"/>
    <x v="0"/>
    <s v="Single"/>
    <n v="68627"/>
    <n v="0"/>
    <n v="0"/>
    <d v="2013-01-12T00:00:00"/>
    <n v="45"/>
    <n v="395"/>
    <n v="15"/>
    <n v="263"/>
    <n v="60"/>
    <n v="54"/>
    <n v="38"/>
    <n v="1"/>
    <n v="2"/>
    <n v="3"/>
    <n v="6"/>
    <n v="1"/>
    <x v="0"/>
    <x v="0"/>
    <x v="0"/>
    <x v="0"/>
    <x v="0"/>
    <n v="0"/>
    <n v="3"/>
    <n v="11"/>
    <x v="1"/>
  </r>
  <r>
    <n v="3924"/>
    <n v="1965"/>
    <x v="1"/>
    <s v="Divorced"/>
    <n v="57912"/>
    <n v="0"/>
    <n v="1"/>
    <d v="2014-03-17T00:00:00"/>
    <n v="34"/>
    <n v="801"/>
    <n v="0"/>
    <n v="80"/>
    <n v="0"/>
    <n v="0"/>
    <n v="35"/>
    <n v="5"/>
    <n v="8"/>
    <n v="3"/>
    <n v="12"/>
    <n v="5"/>
    <x v="0"/>
    <x v="1"/>
    <x v="0"/>
    <x v="0"/>
    <x v="0"/>
    <n v="0"/>
    <n v="3"/>
    <n v="11"/>
    <x v="1"/>
  </r>
  <r>
    <n v="5827"/>
    <n v="1958"/>
    <x v="0"/>
    <s v="Divorced"/>
    <n v="35246"/>
    <n v="1"/>
    <n v="1"/>
    <d v="2014-04-16T00:00:00"/>
    <n v="53"/>
    <n v="36"/>
    <n v="0"/>
    <n v="12"/>
    <n v="2"/>
    <n v="2"/>
    <n v="10"/>
    <n v="4"/>
    <n v="3"/>
    <n v="1"/>
    <n v="3"/>
    <n v="5"/>
    <x v="0"/>
    <x v="0"/>
    <x v="0"/>
    <x v="0"/>
    <x v="0"/>
    <n v="0"/>
    <n v="3"/>
    <n v="11"/>
    <x v="1"/>
  </r>
  <r>
    <n v="5596"/>
    <n v="1956"/>
    <x v="4"/>
    <s v="Together"/>
    <n v="58821"/>
    <n v="0"/>
    <n v="1"/>
    <d v="2013-10-12T00:00:00"/>
    <n v="44"/>
    <n v="513"/>
    <n v="14"/>
    <n v="154"/>
    <n v="19"/>
    <n v="0"/>
    <n v="28"/>
    <n v="1"/>
    <n v="9"/>
    <n v="2"/>
    <n v="9"/>
    <n v="6"/>
    <x v="0"/>
    <x v="0"/>
    <x v="0"/>
    <x v="0"/>
    <x v="0"/>
    <n v="0"/>
    <n v="3"/>
    <n v="11"/>
    <x v="1"/>
  </r>
  <r>
    <n v="10812"/>
    <n v="1978"/>
    <x v="1"/>
    <s v="Married"/>
    <n v="46377"/>
    <n v="1"/>
    <n v="0"/>
    <d v="2014-03-01T00:00:00"/>
    <n v="89"/>
    <n v="37"/>
    <n v="0"/>
    <n v="46"/>
    <n v="4"/>
    <n v="3"/>
    <n v="0"/>
    <n v="1"/>
    <n v="2"/>
    <n v="1"/>
    <n v="3"/>
    <n v="4"/>
    <x v="0"/>
    <x v="0"/>
    <x v="0"/>
    <x v="0"/>
    <x v="0"/>
    <n v="0"/>
    <n v="3"/>
    <n v="11"/>
    <x v="1"/>
  </r>
  <r>
    <n v="1717"/>
    <n v="1988"/>
    <x v="0"/>
    <s v="Single"/>
    <n v="39747"/>
    <n v="1"/>
    <n v="0"/>
    <d v="2014-04-13T00:00:00"/>
    <n v="43"/>
    <n v="80"/>
    <n v="15"/>
    <n v="93"/>
    <n v="20"/>
    <n v="13"/>
    <n v="52"/>
    <n v="3"/>
    <n v="5"/>
    <n v="1"/>
    <n v="4"/>
    <n v="8"/>
    <x v="0"/>
    <x v="0"/>
    <x v="0"/>
    <x v="0"/>
    <x v="0"/>
    <n v="0"/>
    <n v="3"/>
    <n v="11"/>
    <x v="1"/>
  </r>
  <r>
    <n v="9491"/>
    <n v="1984"/>
    <x v="0"/>
    <s v="Together"/>
    <n v="23976"/>
    <n v="1"/>
    <n v="0"/>
    <d v="2013-12-27T00:00:00"/>
    <n v="68"/>
    <n v="14"/>
    <n v="1"/>
    <n v="21"/>
    <n v="2"/>
    <n v="3"/>
    <n v="25"/>
    <n v="3"/>
    <n v="3"/>
    <n v="1"/>
    <n v="3"/>
    <n v="7"/>
    <x v="0"/>
    <x v="0"/>
    <x v="0"/>
    <x v="0"/>
    <x v="0"/>
    <n v="0"/>
    <n v="3"/>
    <n v="11"/>
    <x v="1"/>
  </r>
  <r>
    <n v="9274"/>
    <n v="1961"/>
    <x v="2"/>
    <s v="Married"/>
    <n v="80950"/>
    <n v="0"/>
    <n v="0"/>
    <d v="2013-03-28T00:00:00"/>
    <n v="44"/>
    <n v="525"/>
    <n v="147"/>
    <n v="112"/>
    <n v="219"/>
    <n v="147"/>
    <n v="63"/>
    <n v="1"/>
    <n v="6"/>
    <n v="7"/>
    <n v="9"/>
    <n v="2"/>
    <x v="0"/>
    <x v="0"/>
    <x v="0"/>
    <x v="1"/>
    <x v="0"/>
    <n v="0"/>
    <n v="3"/>
    <n v="11"/>
    <x v="1"/>
  </r>
  <r>
    <n v="6609"/>
    <n v="1966"/>
    <x v="0"/>
    <s v="Widow"/>
    <n v="27038"/>
    <n v="0"/>
    <n v="0"/>
    <d v="2012-09-18T00:00:00"/>
    <n v="64"/>
    <n v="1"/>
    <n v="26"/>
    <n v="25"/>
    <n v="17"/>
    <n v="23"/>
    <n v="15"/>
    <n v="1"/>
    <n v="3"/>
    <n v="0"/>
    <n v="3"/>
    <n v="9"/>
    <x v="0"/>
    <x v="0"/>
    <x v="0"/>
    <x v="0"/>
    <x v="0"/>
    <n v="0"/>
    <n v="3"/>
    <n v="11"/>
    <x v="0"/>
  </r>
  <r>
    <n v="6963"/>
    <n v="1947"/>
    <x v="0"/>
    <s v="Single"/>
    <n v="77457"/>
    <n v="0"/>
    <n v="0"/>
    <d v="2014-03-05T00:00:00"/>
    <n v="85"/>
    <n v="675"/>
    <n v="11"/>
    <n v="400"/>
    <n v="15"/>
    <n v="45"/>
    <n v="11"/>
    <n v="1"/>
    <n v="2"/>
    <n v="5"/>
    <n v="10"/>
    <n v="1"/>
    <x v="0"/>
    <x v="0"/>
    <x v="1"/>
    <x v="0"/>
    <x v="0"/>
    <n v="0"/>
    <n v="3"/>
    <n v="11"/>
    <x v="1"/>
  </r>
  <r>
    <n v="4440"/>
    <n v="1964"/>
    <x v="2"/>
    <s v="Married"/>
    <n v="64100"/>
    <n v="0"/>
    <n v="1"/>
    <d v="2013-09-10T00:00:00"/>
    <n v="93"/>
    <n v="509"/>
    <n v="0"/>
    <n v="27"/>
    <n v="0"/>
    <n v="0"/>
    <n v="10"/>
    <n v="1"/>
    <n v="8"/>
    <n v="3"/>
    <n v="6"/>
    <n v="7"/>
    <x v="0"/>
    <x v="1"/>
    <x v="0"/>
    <x v="0"/>
    <x v="0"/>
    <n v="0"/>
    <n v="3"/>
    <n v="11"/>
    <x v="1"/>
  </r>
  <r>
    <n v="1379"/>
    <n v="1992"/>
    <x v="2"/>
    <s v="Together"/>
    <n v="42670"/>
    <n v="0"/>
    <n v="0"/>
    <d v="2013-04-27T00:00:00"/>
    <n v="12"/>
    <n v="154"/>
    <n v="2"/>
    <n v="46"/>
    <n v="20"/>
    <n v="4"/>
    <n v="15"/>
    <n v="1"/>
    <n v="4"/>
    <n v="2"/>
    <n v="4"/>
    <n v="4"/>
    <x v="0"/>
    <x v="0"/>
    <x v="0"/>
    <x v="0"/>
    <x v="0"/>
    <n v="0"/>
    <n v="3"/>
    <n v="11"/>
    <x v="1"/>
  </r>
  <r>
    <n v="10032"/>
    <n v="1976"/>
    <x v="0"/>
    <s v="Divorced"/>
    <n v="12571"/>
    <n v="1"/>
    <n v="0"/>
    <d v="2014-01-18T00:00:00"/>
    <n v="86"/>
    <n v="3"/>
    <n v="5"/>
    <n v="14"/>
    <n v="2"/>
    <n v="12"/>
    <n v="17"/>
    <n v="4"/>
    <n v="3"/>
    <n v="1"/>
    <n v="3"/>
    <n v="6"/>
    <x v="0"/>
    <x v="0"/>
    <x v="0"/>
    <x v="0"/>
    <x v="0"/>
    <n v="0"/>
    <n v="3"/>
    <n v="11"/>
    <x v="1"/>
  </r>
  <r>
    <n v="2826"/>
    <n v="1967"/>
    <x v="0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x v="0"/>
    <x v="0"/>
    <x v="0"/>
    <x v="0"/>
    <x v="0"/>
    <n v="0"/>
    <n v="3"/>
    <n v="11"/>
    <x v="1"/>
  </r>
  <r>
    <n v="2437"/>
    <n v="1989"/>
    <x v="0"/>
    <s v="Married"/>
    <n v="51381.5"/>
    <n v="0"/>
    <n v="0"/>
    <d v="2013-06-03T00:00:00"/>
    <n v="69"/>
    <n v="861"/>
    <n v="138"/>
    <n v="461"/>
    <n v="60"/>
    <n v="30"/>
    <n v="61"/>
    <n v="1"/>
    <n v="6"/>
    <n v="5"/>
    <n v="12"/>
    <n v="3"/>
    <x v="0"/>
    <x v="1"/>
    <x v="0"/>
    <x v="1"/>
    <x v="0"/>
    <n v="0"/>
    <n v="3"/>
    <n v="11"/>
    <x v="1"/>
  </r>
  <r>
    <n v="6320"/>
    <n v="1976"/>
    <x v="2"/>
    <s v="Single"/>
    <n v="70893"/>
    <n v="0"/>
    <n v="0"/>
    <d v="2013-02-06T00:00:00"/>
    <n v="42"/>
    <n v="768"/>
    <n v="44"/>
    <n v="561"/>
    <n v="77"/>
    <n v="44"/>
    <n v="14"/>
    <n v="1"/>
    <n v="6"/>
    <n v="6"/>
    <n v="10"/>
    <n v="3"/>
    <x v="0"/>
    <x v="0"/>
    <x v="0"/>
    <x v="0"/>
    <x v="0"/>
    <n v="0"/>
    <n v="3"/>
    <n v="11"/>
    <x v="1"/>
  </r>
  <r>
    <n v="3050"/>
    <n v="1966"/>
    <x v="0"/>
    <s v="Married"/>
    <n v="54198"/>
    <n v="1"/>
    <n v="1"/>
    <d v="2013-12-17T00:00:00"/>
    <n v="13"/>
    <n v="185"/>
    <n v="0"/>
    <n v="28"/>
    <n v="3"/>
    <n v="2"/>
    <n v="17"/>
    <n v="6"/>
    <n v="3"/>
    <n v="1"/>
    <n v="6"/>
    <n v="4"/>
    <x v="0"/>
    <x v="0"/>
    <x v="0"/>
    <x v="0"/>
    <x v="0"/>
    <n v="0"/>
    <n v="3"/>
    <n v="11"/>
    <x v="1"/>
  </r>
  <r>
    <n v="231"/>
    <n v="1956"/>
    <x v="2"/>
    <s v="Together"/>
    <n v="28839"/>
    <n v="1"/>
    <n v="1"/>
    <d v="2014-03-11T00:00:00"/>
    <n v="86"/>
    <n v="24"/>
    <n v="0"/>
    <n v="7"/>
    <n v="0"/>
    <n v="0"/>
    <n v="1"/>
    <n v="2"/>
    <n v="2"/>
    <n v="0"/>
    <n v="3"/>
    <n v="5"/>
    <x v="0"/>
    <x v="0"/>
    <x v="0"/>
    <x v="0"/>
    <x v="0"/>
    <n v="0"/>
    <n v="3"/>
    <n v="11"/>
    <x v="1"/>
  </r>
  <r>
    <n v="2392"/>
    <n v="1972"/>
    <x v="0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x v="0"/>
    <x v="0"/>
    <x v="0"/>
    <x v="0"/>
    <x v="0"/>
    <n v="0"/>
    <n v="3"/>
    <n v="11"/>
    <x v="1"/>
  </r>
  <r>
    <n v="9478"/>
    <n v="1985"/>
    <x v="0"/>
    <s v="Single"/>
    <n v="66503"/>
    <n v="1"/>
    <n v="0"/>
    <d v="2012-08-14T00:00:00"/>
    <n v="30"/>
    <n v="91"/>
    <n v="64"/>
    <n v="128"/>
    <n v="65"/>
    <n v="3"/>
    <n v="50"/>
    <n v="2"/>
    <n v="4"/>
    <n v="3"/>
    <n v="6"/>
    <n v="3"/>
    <x v="0"/>
    <x v="0"/>
    <x v="0"/>
    <x v="0"/>
    <x v="0"/>
    <n v="0"/>
    <n v="3"/>
    <n v="11"/>
    <x v="1"/>
  </r>
  <r>
    <n v="113"/>
    <n v="1951"/>
    <x v="0"/>
    <s v="Married"/>
    <n v="30833"/>
    <n v="1"/>
    <n v="1"/>
    <d v="2013-07-16T00:00:00"/>
    <n v="33"/>
    <n v="11"/>
    <n v="0"/>
    <n v="7"/>
    <n v="3"/>
    <n v="1"/>
    <n v="6"/>
    <n v="2"/>
    <n v="1"/>
    <n v="0"/>
    <n v="3"/>
    <n v="5"/>
    <x v="0"/>
    <x v="0"/>
    <x v="0"/>
    <x v="0"/>
    <x v="0"/>
    <n v="0"/>
    <n v="3"/>
    <n v="11"/>
    <x v="1"/>
  </r>
  <r>
    <n v="2863"/>
    <n v="1970"/>
    <x v="0"/>
    <s v="Single"/>
    <n v="51381.5"/>
    <n v="1"/>
    <n v="2"/>
    <d v="2013-08-23T00:00:00"/>
    <n v="67"/>
    <n v="738"/>
    <n v="20"/>
    <n v="172"/>
    <n v="52"/>
    <n v="50"/>
    <n v="20"/>
    <n v="6"/>
    <n v="2"/>
    <n v="3"/>
    <n v="10"/>
    <n v="7"/>
    <x v="0"/>
    <x v="1"/>
    <x v="0"/>
    <x v="1"/>
    <x v="0"/>
    <n v="0"/>
    <n v="3"/>
    <n v="11"/>
    <x v="1"/>
  </r>
  <r>
    <n v="1802"/>
    <n v="1971"/>
    <x v="0"/>
    <s v="Married"/>
    <n v="64795"/>
    <n v="0"/>
    <n v="1"/>
    <d v="2013-01-17T00:00:00"/>
    <n v="23"/>
    <n v="412"/>
    <n v="5"/>
    <n v="119"/>
    <n v="38"/>
    <n v="29"/>
    <n v="77"/>
    <n v="3"/>
    <n v="3"/>
    <n v="3"/>
    <n v="12"/>
    <n v="2"/>
    <x v="0"/>
    <x v="0"/>
    <x v="0"/>
    <x v="0"/>
    <x v="0"/>
    <n v="0"/>
    <n v="3"/>
    <n v="11"/>
    <x v="1"/>
  </r>
  <r>
    <n v="520"/>
    <n v="1974"/>
    <x v="0"/>
    <s v="Married"/>
    <n v="34421"/>
    <n v="1"/>
    <n v="0"/>
    <d v="2013-07-01T00:00:00"/>
    <n v="81"/>
    <n v="3"/>
    <n v="3"/>
    <n v="7"/>
    <n v="6"/>
    <n v="2"/>
    <n v="9"/>
    <n v="1"/>
    <n v="1"/>
    <n v="0"/>
    <n v="2"/>
    <n v="7"/>
    <x v="0"/>
    <x v="0"/>
    <x v="0"/>
    <x v="0"/>
    <x v="0"/>
    <n v="0"/>
    <n v="3"/>
    <n v="11"/>
    <x v="1"/>
  </r>
  <r>
    <n v="8275"/>
    <n v="1965"/>
    <x v="1"/>
    <s v="Divorced"/>
    <n v="47025"/>
    <n v="1"/>
    <n v="1"/>
    <d v="2014-02-09T00:00:00"/>
    <n v="6"/>
    <n v="16"/>
    <n v="0"/>
    <n v="3"/>
    <n v="0"/>
    <n v="0"/>
    <n v="1"/>
    <n v="1"/>
    <n v="1"/>
    <n v="0"/>
    <n v="2"/>
    <n v="7"/>
    <x v="0"/>
    <x v="0"/>
    <x v="0"/>
    <x v="0"/>
    <x v="0"/>
    <n v="0"/>
    <n v="3"/>
    <n v="11"/>
    <x v="1"/>
  </r>
  <r>
    <n v="9750"/>
    <n v="1961"/>
    <x v="1"/>
    <s v="Divorced"/>
    <n v="64325"/>
    <n v="0"/>
    <n v="1"/>
    <d v="2013-02-07T00:00:00"/>
    <n v="41"/>
    <n v="731"/>
    <n v="60"/>
    <n v="353"/>
    <n v="78"/>
    <n v="12"/>
    <n v="73"/>
    <n v="5"/>
    <n v="10"/>
    <n v="3"/>
    <n v="5"/>
    <n v="7"/>
    <x v="0"/>
    <x v="0"/>
    <x v="0"/>
    <x v="0"/>
    <x v="0"/>
    <n v="0"/>
    <n v="3"/>
    <n v="11"/>
    <x v="1"/>
  </r>
  <r>
    <n v="2607"/>
    <n v="1953"/>
    <x v="0"/>
    <s v="Single"/>
    <n v="40464"/>
    <n v="0"/>
    <n v="1"/>
    <d v="2013-01-11T00:00:00"/>
    <n v="78"/>
    <n v="424"/>
    <n v="17"/>
    <n v="118"/>
    <n v="7"/>
    <n v="23"/>
    <n v="41"/>
    <n v="6"/>
    <n v="8"/>
    <n v="2"/>
    <n v="8"/>
    <n v="8"/>
    <x v="0"/>
    <x v="0"/>
    <x v="0"/>
    <x v="0"/>
    <x v="0"/>
    <n v="0"/>
    <n v="3"/>
    <n v="11"/>
    <x v="1"/>
  </r>
  <r>
    <n v="7214"/>
    <n v="1957"/>
    <x v="0"/>
    <s v="Married"/>
    <n v="62187"/>
    <n v="0"/>
    <n v="0"/>
    <d v="2013-07-05T00:00:00"/>
    <n v="49"/>
    <n v="792"/>
    <n v="0"/>
    <n v="275"/>
    <n v="45"/>
    <n v="45"/>
    <n v="126"/>
    <n v="1"/>
    <n v="4"/>
    <n v="8"/>
    <n v="5"/>
    <n v="3"/>
    <x v="0"/>
    <x v="0"/>
    <x v="0"/>
    <x v="0"/>
    <x v="0"/>
    <n v="0"/>
    <n v="3"/>
    <n v="11"/>
    <x v="1"/>
  </r>
  <r>
    <n v="5835"/>
    <n v="1976"/>
    <x v="1"/>
    <s v="Divorced"/>
    <n v="14849"/>
    <n v="1"/>
    <n v="0"/>
    <d v="2013-07-02T00:00:00"/>
    <n v="39"/>
    <n v="21"/>
    <n v="2"/>
    <n v="28"/>
    <n v="3"/>
    <n v="2"/>
    <n v="9"/>
    <n v="3"/>
    <n v="2"/>
    <n v="0"/>
    <n v="4"/>
    <n v="8"/>
    <x v="0"/>
    <x v="0"/>
    <x v="0"/>
    <x v="0"/>
    <x v="0"/>
    <n v="0"/>
    <n v="3"/>
    <n v="11"/>
    <x v="1"/>
  </r>
  <r>
    <n v="3896"/>
    <n v="1984"/>
    <x v="0"/>
    <s v="Married"/>
    <n v="27255"/>
    <n v="1"/>
    <n v="0"/>
    <d v="2013-11-07T00:00:00"/>
    <n v="3"/>
    <n v="22"/>
    <n v="1"/>
    <n v="11"/>
    <n v="0"/>
    <n v="1"/>
    <n v="2"/>
    <n v="1"/>
    <n v="1"/>
    <n v="0"/>
    <n v="3"/>
    <n v="7"/>
    <x v="0"/>
    <x v="0"/>
    <x v="0"/>
    <x v="0"/>
    <x v="0"/>
    <n v="0"/>
    <n v="3"/>
    <n v="11"/>
    <x v="1"/>
  </r>
  <r>
    <n v="10350"/>
    <n v="1950"/>
    <x v="1"/>
    <s v="Married"/>
    <n v="54432"/>
    <n v="2"/>
    <n v="1"/>
    <d v="2013-05-09T00:00:00"/>
    <n v="37"/>
    <n v="33"/>
    <n v="0"/>
    <n v="5"/>
    <n v="0"/>
    <n v="0"/>
    <n v="0"/>
    <n v="1"/>
    <n v="1"/>
    <n v="0"/>
    <n v="3"/>
    <n v="4"/>
    <x v="0"/>
    <x v="0"/>
    <x v="0"/>
    <x v="0"/>
    <x v="0"/>
    <n v="0"/>
    <n v="3"/>
    <n v="11"/>
    <x v="1"/>
  </r>
  <r>
    <n v="7786"/>
    <n v="1986"/>
    <x v="1"/>
    <s v="Single"/>
    <n v="29999"/>
    <n v="1"/>
    <n v="0"/>
    <d v="2013-02-13T00:00:00"/>
    <n v="22"/>
    <n v="68"/>
    <n v="7"/>
    <n v="59"/>
    <n v="10"/>
    <n v="5"/>
    <n v="11"/>
    <n v="4"/>
    <n v="3"/>
    <n v="1"/>
    <n v="4"/>
    <n v="8"/>
    <x v="0"/>
    <x v="0"/>
    <x v="0"/>
    <x v="0"/>
    <x v="0"/>
    <n v="0"/>
    <n v="3"/>
    <n v="11"/>
    <x v="1"/>
  </r>
  <r>
    <n v="2861"/>
    <n v="1983"/>
    <x v="0"/>
    <s v="Single"/>
    <n v="24072"/>
    <n v="1"/>
    <n v="0"/>
    <d v="2013-04-16T00:00:00"/>
    <n v="79"/>
    <n v="9"/>
    <n v="1"/>
    <n v="6"/>
    <n v="3"/>
    <n v="0"/>
    <n v="4"/>
    <n v="1"/>
    <n v="1"/>
    <n v="0"/>
    <n v="2"/>
    <n v="8"/>
    <x v="0"/>
    <x v="0"/>
    <x v="0"/>
    <x v="0"/>
    <x v="0"/>
    <n v="0"/>
    <n v="3"/>
    <n v="11"/>
    <x v="1"/>
  </r>
  <r>
    <n v="663"/>
    <n v="1989"/>
    <x v="1"/>
    <s v="Single"/>
    <n v="33996"/>
    <n v="0"/>
    <n v="0"/>
    <d v="2013-09-11T00:00:00"/>
    <n v="46"/>
    <n v="40"/>
    <n v="2"/>
    <n v="15"/>
    <n v="8"/>
    <n v="0"/>
    <n v="6"/>
    <n v="1"/>
    <n v="1"/>
    <n v="1"/>
    <n v="3"/>
    <n v="4"/>
    <x v="0"/>
    <x v="0"/>
    <x v="0"/>
    <x v="0"/>
    <x v="0"/>
    <n v="0"/>
    <n v="3"/>
    <n v="11"/>
    <x v="1"/>
  </r>
  <r>
    <n v="10675"/>
    <n v="1956"/>
    <x v="1"/>
    <s v="Married"/>
    <n v="66334"/>
    <n v="0"/>
    <n v="1"/>
    <d v="2013-04-03T00:00:00"/>
    <n v="82"/>
    <n v="909"/>
    <n v="11"/>
    <n v="218"/>
    <n v="0"/>
    <n v="0"/>
    <n v="23"/>
    <n v="2"/>
    <n v="9"/>
    <n v="3"/>
    <n v="5"/>
    <n v="5"/>
    <x v="0"/>
    <x v="0"/>
    <x v="0"/>
    <x v="0"/>
    <x v="0"/>
    <n v="0"/>
    <n v="3"/>
    <n v="11"/>
    <x v="0"/>
  </r>
  <r>
    <n v="2521"/>
    <n v="1971"/>
    <x v="2"/>
    <s v="Married"/>
    <n v="35178"/>
    <n v="1"/>
    <n v="0"/>
    <d v="2013-01-10T00:00:00"/>
    <n v="10"/>
    <n v="23"/>
    <n v="1"/>
    <n v="13"/>
    <n v="2"/>
    <n v="2"/>
    <n v="18"/>
    <n v="1"/>
    <n v="1"/>
    <n v="1"/>
    <n v="2"/>
    <n v="7"/>
    <x v="1"/>
    <x v="0"/>
    <x v="0"/>
    <x v="0"/>
    <x v="0"/>
    <n v="0"/>
    <n v="3"/>
    <n v="11"/>
    <x v="0"/>
  </r>
  <r>
    <n v="9592"/>
    <n v="1983"/>
    <x v="0"/>
    <s v="Together"/>
    <n v="22010"/>
    <n v="1"/>
    <n v="0"/>
    <d v="2013-06-30T00:00:00"/>
    <n v="51"/>
    <n v="11"/>
    <n v="2"/>
    <n v="9"/>
    <n v="3"/>
    <n v="0"/>
    <n v="8"/>
    <n v="2"/>
    <n v="2"/>
    <n v="0"/>
    <n v="3"/>
    <n v="8"/>
    <x v="0"/>
    <x v="0"/>
    <x v="0"/>
    <x v="0"/>
    <x v="0"/>
    <n v="0"/>
    <n v="3"/>
    <n v="11"/>
    <x v="1"/>
  </r>
  <r>
    <n v="10151"/>
    <n v="1960"/>
    <x v="0"/>
    <s v="Divorced"/>
    <n v="62204"/>
    <n v="0"/>
    <n v="2"/>
    <d v="2012-09-12T00:00:00"/>
    <n v="38"/>
    <n v="317"/>
    <n v="46"/>
    <n v="247"/>
    <n v="151"/>
    <n v="46"/>
    <n v="139"/>
    <n v="1"/>
    <n v="4"/>
    <n v="5"/>
    <n v="12"/>
    <n v="3"/>
    <x v="0"/>
    <x v="0"/>
    <x v="0"/>
    <x v="0"/>
    <x v="0"/>
    <n v="0"/>
    <n v="3"/>
    <n v="11"/>
    <x v="1"/>
  </r>
  <r>
    <n v="7381"/>
    <n v="1968"/>
    <x v="0"/>
    <s v="Divorced"/>
    <n v="75693"/>
    <n v="0"/>
    <n v="0"/>
    <d v="2012-12-06T00:00:00"/>
    <n v="10"/>
    <n v="797"/>
    <n v="153"/>
    <n v="293"/>
    <n v="72"/>
    <n v="97"/>
    <n v="30"/>
    <n v="1"/>
    <n v="11"/>
    <n v="4"/>
    <n v="6"/>
    <n v="4"/>
    <x v="0"/>
    <x v="1"/>
    <x v="1"/>
    <x v="1"/>
    <x v="0"/>
    <n v="0"/>
    <n v="3"/>
    <n v="11"/>
    <x v="0"/>
  </r>
  <r>
    <n v="4099"/>
    <n v="1972"/>
    <x v="0"/>
    <s v="Married"/>
    <n v="30675"/>
    <n v="1"/>
    <n v="0"/>
    <d v="2012-11-12T00:00:00"/>
    <n v="14"/>
    <n v="10"/>
    <n v="2"/>
    <n v="16"/>
    <n v="11"/>
    <n v="2"/>
    <n v="21"/>
    <n v="1"/>
    <n v="1"/>
    <n v="0"/>
    <n v="3"/>
    <n v="8"/>
    <x v="0"/>
    <x v="0"/>
    <x v="0"/>
    <x v="0"/>
    <x v="0"/>
    <n v="0"/>
    <n v="3"/>
    <n v="11"/>
    <x v="1"/>
  </r>
  <r>
    <n v="9560"/>
    <n v="1965"/>
    <x v="0"/>
    <s v="Together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x v="0"/>
    <x v="0"/>
    <x v="1"/>
    <x v="0"/>
    <x v="0"/>
    <n v="0"/>
    <n v="3"/>
    <n v="11"/>
    <x v="0"/>
  </r>
  <r>
    <n v="1150"/>
    <n v="1899"/>
    <x v="1"/>
    <s v="Together"/>
    <n v="83532"/>
    <n v="0"/>
    <n v="0"/>
    <d v="2013-09-26T00:00:00"/>
    <n v="36"/>
    <n v="755"/>
    <n v="144"/>
    <n v="562"/>
    <n v="104"/>
    <n v="64"/>
    <n v="224"/>
    <n v="1"/>
    <n v="4"/>
    <n v="6"/>
    <n v="4"/>
    <n v="1"/>
    <x v="0"/>
    <x v="0"/>
    <x v="1"/>
    <x v="0"/>
    <x v="0"/>
    <n v="0"/>
    <n v="3"/>
    <n v="11"/>
    <x v="1"/>
  </r>
  <r>
    <n v="10172"/>
    <n v="1988"/>
    <x v="0"/>
    <s v="Single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x v="0"/>
    <x v="0"/>
    <x v="0"/>
    <x v="0"/>
    <x v="0"/>
    <n v="0"/>
    <n v="3"/>
    <n v="11"/>
    <x v="1"/>
  </r>
  <r>
    <n v="11191"/>
    <n v="1986"/>
    <x v="0"/>
    <s v="Divorced"/>
    <n v="41411"/>
    <n v="0"/>
    <n v="0"/>
    <d v="2013-12-07T00:00:00"/>
    <n v="11"/>
    <n v="37"/>
    <n v="32"/>
    <n v="38"/>
    <n v="11"/>
    <n v="3"/>
    <n v="18"/>
    <n v="1"/>
    <n v="2"/>
    <n v="1"/>
    <n v="4"/>
    <n v="6"/>
    <x v="0"/>
    <x v="0"/>
    <x v="0"/>
    <x v="0"/>
    <x v="0"/>
    <n v="0"/>
    <n v="3"/>
    <n v="11"/>
    <x v="1"/>
  </r>
  <r>
    <n v="9707"/>
    <n v="1969"/>
    <x v="1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x v="0"/>
    <x v="1"/>
    <x v="0"/>
    <x v="0"/>
    <x v="1"/>
    <n v="0"/>
    <n v="3"/>
    <n v="11"/>
    <x v="1"/>
  </r>
  <r>
    <n v="6245"/>
    <n v="1950"/>
    <x v="1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x v="0"/>
    <x v="0"/>
    <x v="0"/>
    <x v="0"/>
    <x v="0"/>
    <n v="0"/>
    <n v="3"/>
    <n v="11"/>
    <x v="1"/>
  </r>
  <r>
    <n v="8234"/>
    <n v="1973"/>
    <x v="3"/>
    <s v="Together"/>
    <n v="27190"/>
    <n v="1"/>
    <n v="0"/>
    <d v="2013-08-15T00:00:00"/>
    <n v="13"/>
    <n v="1"/>
    <n v="6"/>
    <n v="7"/>
    <n v="0"/>
    <n v="1"/>
    <n v="3"/>
    <n v="1"/>
    <n v="1"/>
    <n v="0"/>
    <n v="2"/>
    <n v="8"/>
    <x v="1"/>
    <x v="0"/>
    <x v="0"/>
    <x v="0"/>
    <x v="0"/>
    <n v="0"/>
    <n v="3"/>
    <n v="11"/>
    <x v="0"/>
  </r>
  <r>
    <n v="1411"/>
    <n v="1952"/>
    <x v="0"/>
    <s v="Divorced"/>
    <n v="82623"/>
    <n v="0"/>
    <n v="0"/>
    <d v="2013-11-10T00:00:00"/>
    <n v="58"/>
    <n v="204"/>
    <n v="34"/>
    <n v="204"/>
    <n v="172"/>
    <n v="153"/>
    <n v="173"/>
    <n v="1"/>
    <n v="2"/>
    <n v="9"/>
    <n v="4"/>
    <n v="1"/>
    <x v="0"/>
    <x v="0"/>
    <x v="0"/>
    <x v="0"/>
    <x v="0"/>
    <n v="0"/>
    <n v="3"/>
    <n v="11"/>
    <x v="1"/>
  </r>
  <r>
    <n v="8553"/>
    <n v="1965"/>
    <x v="0"/>
    <s v="Married"/>
    <n v="44300"/>
    <n v="1"/>
    <n v="1"/>
    <d v="2013-06-23T00:00:00"/>
    <n v="65"/>
    <n v="30"/>
    <n v="0"/>
    <n v="9"/>
    <n v="0"/>
    <n v="0"/>
    <n v="3"/>
    <n v="2"/>
    <n v="1"/>
    <n v="0"/>
    <n v="3"/>
    <n v="6"/>
    <x v="0"/>
    <x v="0"/>
    <x v="0"/>
    <x v="0"/>
    <x v="0"/>
    <n v="0"/>
    <n v="3"/>
    <n v="11"/>
    <x v="1"/>
  </r>
  <r>
    <n v="1826"/>
    <n v="1970"/>
    <x v="0"/>
    <s v="Divorced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x v="0"/>
    <x v="0"/>
    <x v="0"/>
    <x v="0"/>
    <x v="0"/>
    <n v="0"/>
    <n v="3"/>
    <n v="11"/>
    <x v="0"/>
  </r>
  <r>
    <n v="8842"/>
    <n v="1971"/>
    <x v="0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x v="0"/>
    <x v="0"/>
    <x v="0"/>
    <x v="0"/>
    <x v="0"/>
    <n v="0"/>
    <n v="3"/>
    <n v="11"/>
    <x v="1"/>
  </r>
  <r>
    <n v="11030"/>
    <n v="1976"/>
    <x v="2"/>
    <s v="Married"/>
    <n v="33181"/>
    <n v="1"/>
    <n v="0"/>
    <d v="2014-01-03T00:00:00"/>
    <n v="90"/>
    <n v="9"/>
    <n v="0"/>
    <n v="3"/>
    <n v="0"/>
    <n v="0"/>
    <n v="4"/>
    <n v="1"/>
    <n v="1"/>
    <n v="0"/>
    <n v="2"/>
    <n v="6"/>
    <x v="1"/>
    <x v="0"/>
    <x v="0"/>
    <x v="0"/>
    <x v="0"/>
    <n v="0"/>
    <n v="3"/>
    <n v="11"/>
    <x v="1"/>
  </r>
  <r>
    <n v="2579"/>
    <n v="1957"/>
    <x v="0"/>
    <s v="Married"/>
    <n v="71113"/>
    <n v="0"/>
    <n v="1"/>
    <d v="2013-12-17T00:00:00"/>
    <n v="95"/>
    <n v="495"/>
    <n v="33"/>
    <n v="255"/>
    <n v="11"/>
    <n v="33"/>
    <n v="8"/>
    <n v="4"/>
    <n v="6"/>
    <n v="7"/>
    <n v="9"/>
    <n v="4"/>
    <x v="0"/>
    <x v="0"/>
    <x v="0"/>
    <x v="0"/>
    <x v="0"/>
    <n v="0"/>
    <n v="3"/>
    <n v="11"/>
    <x v="1"/>
  </r>
  <r>
    <n v="175"/>
    <n v="1986"/>
    <x v="0"/>
    <s v="Married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x v="1"/>
    <x v="0"/>
    <x v="1"/>
    <x v="0"/>
    <x v="0"/>
    <n v="0"/>
    <n v="3"/>
    <n v="11"/>
    <x v="1"/>
  </r>
  <r>
    <n v="9185"/>
    <n v="1966"/>
    <x v="1"/>
    <s v="Single"/>
    <n v="69759"/>
    <n v="0"/>
    <n v="0"/>
    <d v="2013-10-28T00:00:00"/>
    <n v="38"/>
    <n v="452"/>
    <n v="20"/>
    <n v="514"/>
    <n v="13"/>
    <n v="30"/>
    <n v="0"/>
    <n v="3"/>
    <n v="4"/>
    <n v="6"/>
    <n v="5"/>
    <n v="3"/>
    <x v="0"/>
    <x v="0"/>
    <x v="0"/>
    <x v="0"/>
    <x v="0"/>
    <n v="0"/>
    <n v="3"/>
    <n v="11"/>
    <x v="0"/>
  </r>
  <r>
    <n v="11056"/>
    <n v="1974"/>
    <x v="0"/>
    <s v="Married"/>
    <n v="72099"/>
    <n v="0"/>
    <n v="0"/>
    <d v="2012-10-27T00:00:00"/>
    <n v="18"/>
    <n v="546"/>
    <n v="91"/>
    <n v="410"/>
    <n v="119"/>
    <n v="0"/>
    <n v="22"/>
    <n v="1"/>
    <n v="3"/>
    <n v="4"/>
    <n v="10"/>
    <n v="1"/>
    <x v="0"/>
    <x v="0"/>
    <x v="0"/>
    <x v="0"/>
    <x v="0"/>
    <n v="0"/>
    <n v="3"/>
    <n v="11"/>
    <x v="1"/>
  </r>
  <r>
    <n v="9365"/>
    <n v="1976"/>
    <x v="1"/>
    <s v="Single"/>
    <n v="60000"/>
    <n v="0"/>
    <n v="1"/>
    <d v="2012-12-22T00:00:00"/>
    <n v="57"/>
    <n v="1048"/>
    <n v="0"/>
    <n v="217"/>
    <n v="0"/>
    <n v="0"/>
    <n v="12"/>
    <n v="5"/>
    <n v="11"/>
    <n v="3"/>
    <n v="5"/>
    <n v="6"/>
    <x v="0"/>
    <x v="0"/>
    <x v="0"/>
    <x v="0"/>
    <x v="0"/>
    <n v="0"/>
    <n v="3"/>
    <n v="11"/>
    <x v="1"/>
  </r>
  <r>
    <n v="6201"/>
    <n v="1978"/>
    <x v="0"/>
    <s v="Single"/>
    <n v="38643"/>
    <n v="1"/>
    <n v="1"/>
    <d v="2013-11-29T00:00:00"/>
    <n v="45"/>
    <n v="22"/>
    <n v="2"/>
    <n v="14"/>
    <n v="0"/>
    <n v="1"/>
    <n v="10"/>
    <n v="2"/>
    <n v="2"/>
    <n v="0"/>
    <n v="3"/>
    <n v="7"/>
    <x v="0"/>
    <x v="0"/>
    <x v="0"/>
    <x v="0"/>
    <x v="0"/>
    <n v="1"/>
    <n v="3"/>
    <n v="11"/>
    <x v="1"/>
  </r>
  <r>
    <n v="2061"/>
    <n v="1955"/>
    <x v="0"/>
    <s v="Married"/>
    <n v="50737"/>
    <n v="0"/>
    <n v="1"/>
    <d v="2013-05-11T00:00:00"/>
    <n v="61"/>
    <n v="78"/>
    <n v="0"/>
    <n v="11"/>
    <n v="0"/>
    <n v="0"/>
    <n v="10"/>
    <n v="1"/>
    <n v="2"/>
    <n v="0"/>
    <n v="4"/>
    <n v="6"/>
    <x v="0"/>
    <x v="1"/>
    <x v="0"/>
    <x v="0"/>
    <x v="0"/>
    <n v="0"/>
    <n v="3"/>
    <n v="11"/>
    <x v="1"/>
  </r>
  <r>
    <n v="6184"/>
    <n v="1969"/>
    <x v="1"/>
    <s v="Married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x v="0"/>
    <x v="0"/>
    <x v="0"/>
    <x v="0"/>
    <x v="0"/>
    <n v="0"/>
    <n v="3"/>
    <n v="11"/>
    <x v="1"/>
  </r>
  <r>
    <n v="6142"/>
    <n v="1943"/>
    <x v="2"/>
    <s v="Married"/>
    <n v="65073"/>
    <n v="0"/>
    <n v="0"/>
    <d v="2013-08-20T00:00:00"/>
    <n v="65"/>
    <n v="629"/>
    <n v="17"/>
    <n v="177"/>
    <n v="69"/>
    <n v="0"/>
    <n v="8"/>
    <n v="1"/>
    <n v="5"/>
    <n v="3"/>
    <n v="5"/>
    <n v="2"/>
    <x v="0"/>
    <x v="0"/>
    <x v="0"/>
    <x v="0"/>
    <x v="0"/>
    <n v="1"/>
    <n v="3"/>
    <n v="11"/>
    <x v="1"/>
  </r>
  <r>
    <n v="4107"/>
    <n v="1948"/>
    <x v="1"/>
    <s v="Together"/>
    <n v="46681"/>
    <n v="0"/>
    <n v="2"/>
    <d v="2013-10-08T00:00:00"/>
    <n v="52"/>
    <n v="269"/>
    <n v="15"/>
    <n v="69"/>
    <n v="15"/>
    <n v="19"/>
    <n v="38"/>
    <n v="2"/>
    <n v="4"/>
    <n v="6"/>
    <n v="4"/>
    <n v="5"/>
    <x v="0"/>
    <x v="0"/>
    <x v="0"/>
    <x v="0"/>
    <x v="0"/>
    <n v="0"/>
    <n v="3"/>
    <n v="11"/>
    <x v="1"/>
  </r>
  <r>
    <n v="7274"/>
    <n v="1957"/>
    <x v="0"/>
    <s v="Married"/>
    <n v="78618"/>
    <n v="0"/>
    <n v="0"/>
    <d v="2012-09-28T00:00:00"/>
    <n v="87"/>
    <n v="736"/>
    <n v="163"/>
    <n v="818"/>
    <n v="212"/>
    <n v="163"/>
    <n v="61"/>
    <n v="1"/>
    <n v="4"/>
    <n v="7"/>
    <n v="10"/>
    <n v="2"/>
    <x v="0"/>
    <x v="1"/>
    <x v="0"/>
    <x v="0"/>
    <x v="0"/>
    <n v="0"/>
    <n v="3"/>
    <n v="11"/>
    <x v="1"/>
  </r>
  <r>
    <n v="9336"/>
    <n v="1969"/>
    <x v="1"/>
    <s v="Widow"/>
    <n v="62187"/>
    <n v="0"/>
    <n v="1"/>
    <d v="2014-03-22T00:00:00"/>
    <n v="38"/>
    <n v="512"/>
    <n v="0"/>
    <n v="83"/>
    <n v="0"/>
    <n v="0"/>
    <n v="41"/>
    <n v="3"/>
    <n v="6"/>
    <n v="2"/>
    <n v="10"/>
    <n v="4"/>
    <x v="0"/>
    <x v="0"/>
    <x v="0"/>
    <x v="0"/>
    <x v="0"/>
    <n v="0"/>
    <n v="3"/>
    <n v="11"/>
    <x v="1"/>
  </r>
  <r>
    <n v="2958"/>
    <n v="1978"/>
    <x v="0"/>
    <s v="Married"/>
    <n v="28442"/>
    <n v="2"/>
    <n v="0"/>
    <d v="2014-02-24T00:00:00"/>
    <n v="53"/>
    <n v="19"/>
    <n v="3"/>
    <n v="10"/>
    <n v="11"/>
    <n v="8"/>
    <n v="6"/>
    <n v="3"/>
    <n v="2"/>
    <n v="1"/>
    <n v="4"/>
    <n v="4"/>
    <x v="0"/>
    <x v="0"/>
    <x v="0"/>
    <x v="0"/>
    <x v="0"/>
    <n v="0"/>
    <n v="3"/>
    <n v="11"/>
    <x v="1"/>
  </r>
  <r>
    <n v="933"/>
    <n v="1978"/>
    <x v="1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x v="0"/>
    <x v="0"/>
    <x v="0"/>
    <x v="0"/>
    <x v="0"/>
    <n v="0"/>
    <n v="3"/>
    <n v="11"/>
    <x v="1"/>
  </r>
  <r>
    <n v="5837"/>
    <n v="1967"/>
    <x v="0"/>
    <s v="Married"/>
    <n v="51479"/>
    <n v="1"/>
    <n v="1"/>
    <d v="2012-12-28T00:00:00"/>
    <n v="67"/>
    <n v="247"/>
    <n v="8"/>
    <n v="160"/>
    <n v="6"/>
    <n v="8"/>
    <n v="65"/>
    <n v="7"/>
    <n v="6"/>
    <n v="3"/>
    <n v="6"/>
    <n v="7"/>
    <x v="0"/>
    <x v="0"/>
    <x v="0"/>
    <x v="0"/>
    <x v="0"/>
    <n v="0"/>
    <n v="3"/>
    <n v="11"/>
    <x v="1"/>
  </r>
  <r>
    <n v="10704"/>
    <n v="1969"/>
    <x v="0"/>
    <s v="Single"/>
    <n v="54803"/>
    <n v="0"/>
    <n v="1"/>
    <d v="2012-08-21T00:00:00"/>
    <n v="65"/>
    <n v="404"/>
    <n v="0"/>
    <n v="92"/>
    <n v="28"/>
    <n v="27"/>
    <n v="142"/>
    <n v="2"/>
    <n v="6"/>
    <n v="2"/>
    <n v="9"/>
    <n v="4"/>
    <x v="0"/>
    <x v="0"/>
    <x v="0"/>
    <x v="0"/>
    <x v="0"/>
    <n v="0"/>
    <n v="3"/>
    <n v="11"/>
    <x v="1"/>
  </r>
  <r>
    <n v="5125"/>
    <n v="1960"/>
    <x v="0"/>
    <s v="Married"/>
    <n v="79530"/>
    <n v="0"/>
    <n v="0"/>
    <d v="2013-05-17T00:00:00"/>
    <n v="64"/>
    <n v="333"/>
    <n v="0"/>
    <n v="815"/>
    <n v="129"/>
    <n v="42"/>
    <n v="29"/>
    <n v="1"/>
    <n v="4"/>
    <n v="10"/>
    <n v="11"/>
    <n v="2"/>
    <x v="0"/>
    <x v="0"/>
    <x v="0"/>
    <x v="0"/>
    <x v="0"/>
    <n v="0"/>
    <n v="3"/>
    <n v="11"/>
    <x v="1"/>
  </r>
  <r>
    <n v="4432"/>
    <n v="1976"/>
    <x v="0"/>
    <s v="Divorced"/>
    <n v="31615"/>
    <n v="1"/>
    <n v="0"/>
    <d v="2013-03-16T00:00:00"/>
    <n v="82"/>
    <n v="2"/>
    <n v="3"/>
    <n v="20"/>
    <n v="6"/>
    <n v="11"/>
    <n v="9"/>
    <n v="2"/>
    <n v="2"/>
    <n v="0"/>
    <n v="3"/>
    <n v="7"/>
    <x v="0"/>
    <x v="0"/>
    <x v="0"/>
    <x v="0"/>
    <x v="0"/>
    <n v="0"/>
    <n v="3"/>
    <n v="11"/>
    <x v="1"/>
  </r>
  <r>
    <n v="5955"/>
    <n v="1962"/>
    <x v="0"/>
    <s v="Together"/>
    <n v="72025"/>
    <n v="0"/>
    <n v="0"/>
    <d v="2012-11-17T00:00:00"/>
    <n v="27"/>
    <n v="833"/>
    <n v="33"/>
    <n v="549"/>
    <n v="151"/>
    <n v="133"/>
    <n v="233"/>
    <n v="1"/>
    <n v="4"/>
    <n v="3"/>
    <n v="8"/>
    <n v="3"/>
    <x v="0"/>
    <x v="0"/>
    <x v="0"/>
    <x v="0"/>
    <x v="0"/>
    <n v="0"/>
    <n v="3"/>
    <n v="11"/>
    <x v="1"/>
  </r>
  <r>
    <n v="2928"/>
    <n v="1975"/>
    <x v="1"/>
    <s v="Single"/>
    <n v="52614"/>
    <n v="0"/>
    <n v="1"/>
    <d v="2012-12-01T00:00:00"/>
    <n v="63"/>
    <n v="789"/>
    <n v="0"/>
    <n v="142"/>
    <n v="12"/>
    <n v="9"/>
    <n v="38"/>
    <n v="2"/>
    <n v="2"/>
    <n v="4"/>
    <n v="8"/>
    <n v="8"/>
    <x v="0"/>
    <x v="0"/>
    <x v="0"/>
    <x v="0"/>
    <x v="0"/>
    <n v="0"/>
    <n v="3"/>
    <n v="11"/>
    <x v="1"/>
  </r>
  <r>
    <n v="5680"/>
    <n v="1984"/>
    <x v="4"/>
    <s v="Married"/>
    <n v="35684"/>
    <n v="1"/>
    <n v="0"/>
    <d v="2014-04-22T00:00:00"/>
    <n v="66"/>
    <n v="10"/>
    <n v="4"/>
    <n v="7"/>
    <n v="0"/>
    <n v="6"/>
    <n v="3"/>
    <n v="1"/>
    <n v="1"/>
    <n v="0"/>
    <n v="3"/>
    <n v="6"/>
    <x v="0"/>
    <x v="0"/>
    <x v="0"/>
    <x v="0"/>
    <x v="0"/>
    <n v="0"/>
    <n v="3"/>
    <n v="11"/>
    <x v="1"/>
  </r>
  <r>
    <n v="10313"/>
    <n v="1975"/>
    <x v="0"/>
    <s v="Married"/>
    <n v="48178"/>
    <n v="1"/>
    <n v="1"/>
    <d v="2012-10-28T00:00:00"/>
    <n v="69"/>
    <n v="159"/>
    <n v="4"/>
    <n v="45"/>
    <n v="6"/>
    <n v="2"/>
    <n v="38"/>
    <n v="6"/>
    <n v="5"/>
    <n v="1"/>
    <n v="4"/>
    <n v="8"/>
    <x v="0"/>
    <x v="0"/>
    <x v="0"/>
    <x v="0"/>
    <x v="0"/>
    <n v="0"/>
    <n v="3"/>
    <n v="11"/>
    <x v="1"/>
  </r>
  <r>
    <n v="2557"/>
    <n v="1970"/>
    <x v="2"/>
    <s v="Single"/>
    <n v="29548"/>
    <n v="1"/>
    <n v="0"/>
    <d v="2013-08-29T00:00:00"/>
    <n v="52"/>
    <n v="7"/>
    <n v="1"/>
    <n v="6"/>
    <n v="3"/>
    <n v="1"/>
    <n v="11"/>
    <n v="1"/>
    <n v="1"/>
    <n v="1"/>
    <n v="2"/>
    <n v="4"/>
    <x v="1"/>
    <x v="0"/>
    <x v="0"/>
    <x v="0"/>
    <x v="0"/>
    <n v="0"/>
    <n v="3"/>
    <n v="11"/>
    <x v="1"/>
  </r>
  <r>
    <n v="1245"/>
    <n v="1966"/>
    <x v="0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x v="0"/>
    <x v="1"/>
    <x v="0"/>
    <x v="0"/>
    <x v="0"/>
    <n v="0"/>
    <n v="3"/>
    <n v="11"/>
    <x v="1"/>
  </r>
  <r>
    <n v="1519"/>
    <n v="1972"/>
    <x v="1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x v="0"/>
    <x v="0"/>
    <x v="0"/>
    <x v="0"/>
    <x v="0"/>
    <n v="0"/>
    <n v="3"/>
    <n v="11"/>
    <x v="0"/>
  </r>
  <r>
    <n v="10703"/>
    <n v="1975"/>
    <x v="2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x v="0"/>
    <x v="0"/>
    <x v="0"/>
    <x v="0"/>
    <x v="0"/>
    <n v="0"/>
    <n v="3"/>
    <n v="11"/>
    <x v="1"/>
  </r>
  <r>
    <n v="1726"/>
    <n v="1970"/>
    <x v="0"/>
    <s v="Single"/>
    <n v="22585"/>
    <n v="0"/>
    <n v="0"/>
    <d v="2013-03-18T00:00:00"/>
    <n v="23"/>
    <n v="3"/>
    <n v="9"/>
    <n v="15"/>
    <n v="13"/>
    <n v="2"/>
    <n v="39"/>
    <n v="1"/>
    <n v="1"/>
    <n v="1"/>
    <n v="2"/>
    <n v="9"/>
    <x v="1"/>
    <x v="0"/>
    <x v="0"/>
    <x v="0"/>
    <x v="0"/>
    <n v="0"/>
    <n v="3"/>
    <n v="11"/>
    <x v="0"/>
  </r>
  <r>
    <n v="4459"/>
    <n v="1989"/>
    <x v="0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x v="0"/>
    <x v="0"/>
    <x v="0"/>
    <x v="0"/>
    <x v="0"/>
    <n v="0"/>
    <n v="3"/>
    <n v="11"/>
    <x v="1"/>
  </r>
  <r>
    <n v="1729"/>
    <n v="1961"/>
    <x v="1"/>
    <s v="Together"/>
    <n v="66426"/>
    <n v="0"/>
    <n v="1"/>
    <d v="2013-10-02T00:00:00"/>
    <n v="14"/>
    <n v="1043"/>
    <n v="24"/>
    <n v="97"/>
    <n v="32"/>
    <n v="24"/>
    <n v="157"/>
    <n v="2"/>
    <n v="3"/>
    <n v="5"/>
    <n v="10"/>
    <n v="6"/>
    <x v="0"/>
    <x v="0"/>
    <x v="0"/>
    <x v="0"/>
    <x v="0"/>
    <n v="0"/>
    <n v="3"/>
    <n v="11"/>
    <x v="1"/>
  </r>
  <r>
    <n v="1517"/>
    <n v="1969"/>
    <x v="0"/>
    <s v="Single"/>
    <n v="30822"/>
    <n v="1"/>
    <n v="0"/>
    <d v="2013-06-14T00:00:00"/>
    <n v="92"/>
    <n v="3"/>
    <n v="9"/>
    <n v="13"/>
    <n v="2"/>
    <n v="12"/>
    <n v="12"/>
    <n v="1"/>
    <n v="1"/>
    <n v="0"/>
    <n v="3"/>
    <n v="7"/>
    <x v="0"/>
    <x v="0"/>
    <x v="0"/>
    <x v="0"/>
    <x v="0"/>
    <n v="0"/>
    <n v="3"/>
    <n v="11"/>
    <x v="1"/>
  </r>
  <r>
    <n v="2098"/>
    <n v="1969"/>
    <x v="1"/>
    <s v="Married"/>
    <n v="33581"/>
    <n v="2"/>
    <n v="0"/>
    <d v="2013-01-08T00:00:00"/>
    <n v="38"/>
    <n v="11"/>
    <n v="0"/>
    <n v="5"/>
    <n v="0"/>
    <n v="0"/>
    <n v="1"/>
    <n v="1"/>
    <n v="1"/>
    <n v="0"/>
    <n v="2"/>
    <n v="8"/>
    <x v="0"/>
    <x v="0"/>
    <x v="0"/>
    <x v="0"/>
    <x v="0"/>
    <n v="0"/>
    <n v="3"/>
    <n v="11"/>
    <x v="1"/>
  </r>
  <r>
    <n v="9543"/>
    <n v="1985"/>
    <x v="0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x v="0"/>
    <x v="0"/>
    <x v="0"/>
    <x v="0"/>
    <x v="0"/>
    <n v="0"/>
    <n v="3"/>
    <n v="11"/>
    <x v="1"/>
  </r>
  <r>
    <n v="6878"/>
    <n v="1954"/>
    <x v="0"/>
    <s v="Widow"/>
    <n v="27421"/>
    <n v="0"/>
    <n v="0"/>
    <d v="2012-12-12T00:00:00"/>
    <n v="14"/>
    <n v="43"/>
    <n v="12"/>
    <n v="96"/>
    <n v="78"/>
    <n v="40"/>
    <n v="55"/>
    <n v="3"/>
    <n v="4"/>
    <n v="1"/>
    <n v="6"/>
    <n v="7"/>
    <x v="0"/>
    <x v="0"/>
    <x v="0"/>
    <x v="0"/>
    <x v="0"/>
    <n v="0"/>
    <n v="3"/>
    <n v="11"/>
    <x v="1"/>
  </r>
  <r>
    <n v="3310"/>
    <n v="1973"/>
    <x v="4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x v="0"/>
    <x v="0"/>
    <x v="0"/>
    <x v="0"/>
    <x v="0"/>
    <n v="0"/>
    <n v="3"/>
    <n v="11"/>
    <x v="1"/>
  </r>
  <r>
    <n v="2724"/>
    <n v="1981"/>
    <x v="2"/>
    <s v="Single"/>
    <n v="36143"/>
    <n v="1"/>
    <n v="0"/>
    <d v="2014-03-30T00:00:00"/>
    <n v="33"/>
    <n v="12"/>
    <n v="0"/>
    <n v="1"/>
    <n v="0"/>
    <n v="0"/>
    <n v="6"/>
    <n v="1"/>
    <n v="0"/>
    <n v="1"/>
    <n v="2"/>
    <n v="3"/>
    <x v="0"/>
    <x v="0"/>
    <x v="0"/>
    <x v="0"/>
    <x v="0"/>
    <n v="0"/>
    <n v="3"/>
    <n v="11"/>
    <x v="1"/>
  </r>
  <r>
    <n v="948"/>
    <n v="1971"/>
    <x v="0"/>
    <s v="Single"/>
    <n v="10245"/>
    <n v="1"/>
    <n v="0"/>
    <d v="2013-05-15T00:00:00"/>
    <n v="32"/>
    <n v="4"/>
    <n v="7"/>
    <n v="7"/>
    <n v="6"/>
    <n v="4"/>
    <n v="13"/>
    <n v="3"/>
    <n v="1"/>
    <n v="2"/>
    <n v="2"/>
    <n v="5"/>
    <x v="0"/>
    <x v="0"/>
    <x v="0"/>
    <x v="0"/>
    <x v="0"/>
    <n v="0"/>
    <n v="3"/>
    <n v="11"/>
    <x v="1"/>
  </r>
  <r>
    <n v="6720"/>
    <n v="1968"/>
    <x v="2"/>
    <s v="Together"/>
    <n v="43795"/>
    <n v="0"/>
    <n v="1"/>
    <d v="2013-10-16T00:00:00"/>
    <n v="11"/>
    <n v="314"/>
    <n v="11"/>
    <n v="53"/>
    <n v="4"/>
    <n v="3"/>
    <n v="107"/>
    <n v="3"/>
    <n v="7"/>
    <n v="3"/>
    <n v="4"/>
    <n v="7"/>
    <x v="0"/>
    <x v="1"/>
    <x v="0"/>
    <x v="0"/>
    <x v="0"/>
    <n v="0"/>
    <n v="3"/>
    <n v="11"/>
    <x v="0"/>
  </r>
  <r>
    <n v="6202"/>
    <n v="1960"/>
    <x v="0"/>
    <s v="Together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x v="0"/>
    <x v="0"/>
    <x v="0"/>
    <x v="0"/>
    <x v="0"/>
    <n v="0"/>
    <n v="3"/>
    <n v="11"/>
    <x v="1"/>
  </r>
  <r>
    <n v="2066"/>
    <n v="1949"/>
    <x v="0"/>
    <s v="Together"/>
    <n v="38823"/>
    <n v="0"/>
    <n v="1"/>
    <d v="2012-08-30T00:00:00"/>
    <n v="56"/>
    <n v="70"/>
    <n v="0"/>
    <n v="11"/>
    <n v="2"/>
    <n v="8"/>
    <n v="23"/>
    <n v="1"/>
    <n v="2"/>
    <n v="1"/>
    <n v="3"/>
    <n v="6"/>
    <x v="0"/>
    <x v="0"/>
    <x v="0"/>
    <x v="0"/>
    <x v="0"/>
    <n v="0"/>
    <n v="3"/>
    <n v="11"/>
    <x v="1"/>
  </r>
  <r>
    <n v="9799"/>
    <n v="1968"/>
    <x v="1"/>
    <s v="Divorced"/>
    <n v="83664"/>
    <n v="1"/>
    <n v="1"/>
    <d v="2013-05-08T00:00:00"/>
    <n v="57"/>
    <n v="866"/>
    <n v="21"/>
    <n v="151"/>
    <n v="28"/>
    <n v="21"/>
    <n v="86"/>
    <n v="3"/>
    <n v="2"/>
    <n v="2"/>
    <n v="12"/>
    <n v="5"/>
    <x v="0"/>
    <x v="0"/>
    <x v="0"/>
    <x v="0"/>
    <x v="0"/>
    <n v="0"/>
    <n v="3"/>
    <n v="11"/>
    <x v="1"/>
  </r>
  <r>
    <n v="8318"/>
    <n v="1979"/>
    <x v="0"/>
    <s v="Together"/>
    <n v="90300"/>
    <n v="0"/>
    <n v="0"/>
    <d v="2014-01-03T00:00:00"/>
    <n v="7"/>
    <n v="594"/>
    <n v="134"/>
    <n v="786"/>
    <n v="33"/>
    <n v="134"/>
    <n v="57"/>
    <n v="0"/>
    <n v="5"/>
    <n v="6"/>
    <n v="8"/>
    <n v="1"/>
    <x v="0"/>
    <x v="0"/>
    <x v="1"/>
    <x v="0"/>
    <x v="0"/>
    <n v="0"/>
    <n v="3"/>
    <n v="11"/>
    <x v="1"/>
  </r>
  <r>
    <n v="5642"/>
    <n v="1979"/>
    <x v="2"/>
    <s v="Together"/>
    <n v="62499"/>
    <n v="1"/>
    <n v="0"/>
    <d v="2013-12-09T00:00:00"/>
    <n v="0"/>
    <n v="140"/>
    <n v="4"/>
    <n v="61"/>
    <n v="0"/>
    <n v="13"/>
    <n v="4"/>
    <n v="2"/>
    <n v="3"/>
    <n v="1"/>
    <n v="6"/>
    <n v="4"/>
    <x v="0"/>
    <x v="0"/>
    <x v="0"/>
    <x v="0"/>
    <x v="0"/>
    <n v="0"/>
    <n v="3"/>
    <n v="11"/>
    <x v="1"/>
  </r>
  <r>
    <n v="2669"/>
    <n v="1993"/>
    <x v="0"/>
    <s v="Single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x v="0"/>
    <x v="0"/>
    <x v="0"/>
    <x v="0"/>
    <x v="0"/>
    <n v="0"/>
    <n v="3"/>
    <n v="11"/>
    <x v="1"/>
  </r>
  <r>
    <n v="455"/>
    <n v="1946"/>
    <x v="1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x v="0"/>
    <x v="0"/>
    <x v="0"/>
    <x v="0"/>
    <x v="0"/>
    <n v="0"/>
    <n v="3"/>
    <n v="11"/>
    <x v="1"/>
  </r>
  <r>
    <n v="7683"/>
    <n v="1968"/>
    <x v="2"/>
    <s v="Married"/>
    <n v="70777"/>
    <n v="0"/>
    <n v="1"/>
    <d v="2014-02-25T00:00:00"/>
    <n v="80"/>
    <n v="554"/>
    <n v="35"/>
    <n v="113"/>
    <n v="0"/>
    <n v="7"/>
    <n v="78"/>
    <n v="3"/>
    <n v="5"/>
    <n v="3"/>
    <n v="12"/>
    <n v="3"/>
    <x v="0"/>
    <x v="0"/>
    <x v="0"/>
    <x v="0"/>
    <x v="0"/>
    <n v="0"/>
    <n v="3"/>
    <n v="11"/>
    <x v="1"/>
  </r>
  <r>
    <n v="3428"/>
    <n v="1991"/>
    <x v="1"/>
    <s v="Together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x v="0"/>
    <x v="0"/>
    <x v="0"/>
    <x v="0"/>
    <x v="0"/>
    <n v="0"/>
    <n v="3"/>
    <n v="11"/>
    <x v="1"/>
  </r>
  <r>
    <n v="7414"/>
    <n v="1971"/>
    <x v="0"/>
    <s v="Married"/>
    <n v="43824"/>
    <n v="1"/>
    <n v="1"/>
    <d v="2012-09-15T00:00:00"/>
    <n v="18"/>
    <n v="96"/>
    <n v="1"/>
    <n v="42"/>
    <n v="12"/>
    <n v="3"/>
    <n v="32"/>
    <n v="4"/>
    <n v="3"/>
    <n v="1"/>
    <n v="4"/>
    <n v="8"/>
    <x v="0"/>
    <x v="0"/>
    <x v="0"/>
    <x v="0"/>
    <x v="0"/>
    <n v="0"/>
    <n v="3"/>
    <n v="11"/>
    <x v="1"/>
  </r>
  <r>
    <n v="6354"/>
    <n v="1984"/>
    <x v="0"/>
    <s v="Together"/>
    <n v="15345"/>
    <n v="1"/>
    <n v="0"/>
    <d v="2012-08-31T00:00:00"/>
    <n v="51"/>
    <n v="5"/>
    <n v="2"/>
    <n v="16"/>
    <n v="3"/>
    <n v="2"/>
    <n v="19"/>
    <n v="2"/>
    <n v="1"/>
    <n v="1"/>
    <n v="2"/>
    <n v="8"/>
    <x v="0"/>
    <x v="0"/>
    <x v="0"/>
    <x v="0"/>
    <x v="0"/>
    <n v="0"/>
    <n v="3"/>
    <n v="11"/>
    <x v="0"/>
  </r>
  <r>
    <n v="798"/>
    <n v="1987"/>
    <x v="0"/>
    <s v="Single"/>
    <n v="23442"/>
    <n v="1"/>
    <n v="0"/>
    <d v="2012-12-24T00:00:00"/>
    <n v="71"/>
    <n v="2"/>
    <n v="0"/>
    <n v="6"/>
    <n v="8"/>
    <n v="6"/>
    <n v="5"/>
    <n v="1"/>
    <n v="1"/>
    <n v="0"/>
    <n v="3"/>
    <n v="7"/>
    <x v="0"/>
    <x v="0"/>
    <x v="0"/>
    <x v="0"/>
    <x v="0"/>
    <n v="0"/>
    <n v="3"/>
    <n v="11"/>
    <x v="1"/>
  </r>
  <r>
    <n v="8213"/>
    <n v="1980"/>
    <x v="4"/>
    <s v="Together"/>
    <n v="14515"/>
    <n v="1"/>
    <n v="0"/>
    <d v="2012-11-09T00:00:00"/>
    <n v="71"/>
    <n v="6"/>
    <n v="4"/>
    <n v="9"/>
    <n v="6"/>
    <n v="36"/>
    <n v="35"/>
    <n v="4"/>
    <n v="2"/>
    <n v="2"/>
    <n v="3"/>
    <n v="7"/>
    <x v="0"/>
    <x v="0"/>
    <x v="0"/>
    <x v="0"/>
    <x v="0"/>
    <n v="0"/>
    <n v="3"/>
    <n v="11"/>
    <x v="0"/>
  </r>
  <r>
    <n v="2488"/>
    <n v="1956"/>
    <x v="4"/>
    <s v="Divorced"/>
    <n v="31395"/>
    <n v="1"/>
    <n v="1"/>
    <d v="2013-03-23T00:00:00"/>
    <n v="80"/>
    <n v="23"/>
    <n v="1"/>
    <n v="25"/>
    <n v="0"/>
    <n v="8"/>
    <n v="7"/>
    <n v="4"/>
    <n v="2"/>
    <n v="1"/>
    <n v="3"/>
    <n v="6"/>
    <x v="0"/>
    <x v="0"/>
    <x v="0"/>
    <x v="0"/>
    <x v="0"/>
    <n v="0"/>
    <n v="3"/>
    <n v="11"/>
    <x v="1"/>
  </r>
  <r>
    <n v="9999"/>
    <n v="1965"/>
    <x v="0"/>
    <s v="Together"/>
    <n v="75276"/>
    <n v="0"/>
    <n v="0"/>
    <d v="2012-09-27T00:00:00"/>
    <n v="2"/>
    <n v="610"/>
    <n v="105"/>
    <n v="125"/>
    <n v="137"/>
    <n v="42"/>
    <n v="21"/>
    <n v="1"/>
    <n v="9"/>
    <n v="4"/>
    <n v="9"/>
    <n v="5"/>
    <x v="0"/>
    <x v="0"/>
    <x v="0"/>
    <x v="0"/>
    <x v="0"/>
    <n v="0"/>
    <n v="3"/>
    <n v="11"/>
    <x v="1"/>
  </r>
  <r>
    <n v="7617"/>
    <n v="1974"/>
    <x v="0"/>
    <s v="Single"/>
    <n v="42373"/>
    <n v="1"/>
    <n v="1"/>
    <d v="2013-08-15T00:00:00"/>
    <n v="83"/>
    <n v="67"/>
    <n v="5"/>
    <n v="61"/>
    <n v="3"/>
    <n v="8"/>
    <n v="19"/>
    <n v="5"/>
    <n v="2"/>
    <n v="1"/>
    <n v="5"/>
    <n v="5"/>
    <x v="0"/>
    <x v="0"/>
    <x v="0"/>
    <x v="0"/>
    <x v="0"/>
    <n v="0"/>
    <n v="3"/>
    <n v="11"/>
    <x v="1"/>
  </r>
  <r>
    <n v="615"/>
    <n v="1960"/>
    <x v="0"/>
    <s v="Together"/>
    <n v="30507"/>
    <n v="0"/>
    <n v="0"/>
    <d v="2013-03-11T00:00:00"/>
    <n v="29"/>
    <n v="65"/>
    <n v="36"/>
    <n v="74"/>
    <n v="38"/>
    <n v="20"/>
    <n v="110"/>
    <n v="1"/>
    <n v="5"/>
    <n v="1"/>
    <n v="4"/>
    <n v="7"/>
    <x v="0"/>
    <x v="0"/>
    <x v="0"/>
    <x v="0"/>
    <x v="0"/>
    <n v="0"/>
    <n v="3"/>
    <n v="11"/>
    <x v="1"/>
  </r>
  <r>
    <n v="2552"/>
    <n v="1955"/>
    <x v="1"/>
    <s v="Single"/>
    <n v="55521"/>
    <n v="1"/>
    <n v="2"/>
    <d v="2013-10-22T00:00:00"/>
    <n v="11"/>
    <n v="416"/>
    <n v="0"/>
    <n v="26"/>
    <n v="0"/>
    <n v="0"/>
    <n v="4"/>
    <n v="9"/>
    <n v="6"/>
    <n v="3"/>
    <n v="6"/>
    <n v="7"/>
    <x v="0"/>
    <x v="1"/>
    <x v="0"/>
    <x v="0"/>
    <x v="0"/>
    <n v="0"/>
    <n v="3"/>
    <n v="11"/>
    <x v="0"/>
  </r>
  <r>
    <n v="194"/>
    <n v="1965"/>
    <x v="0"/>
    <s v="Married"/>
    <n v="48006"/>
    <n v="1"/>
    <n v="1"/>
    <d v="2014-06-09T00:00:00"/>
    <n v="55"/>
    <n v="23"/>
    <n v="0"/>
    <n v="11"/>
    <n v="3"/>
    <n v="2"/>
    <n v="2"/>
    <n v="1"/>
    <n v="1"/>
    <n v="0"/>
    <n v="3"/>
    <n v="6"/>
    <x v="0"/>
    <x v="0"/>
    <x v="0"/>
    <x v="0"/>
    <x v="0"/>
    <n v="0"/>
    <n v="3"/>
    <n v="11"/>
    <x v="1"/>
  </r>
  <r>
    <n v="3645"/>
    <n v="1972"/>
    <x v="1"/>
    <s v="Single"/>
    <n v="27213"/>
    <n v="1"/>
    <n v="0"/>
    <d v="2012-08-30T00:00:00"/>
    <n v="19"/>
    <n v="19"/>
    <n v="3"/>
    <n v="26"/>
    <n v="10"/>
    <n v="9"/>
    <n v="3"/>
    <n v="3"/>
    <n v="2"/>
    <n v="0"/>
    <n v="4"/>
    <n v="8"/>
    <x v="0"/>
    <x v="0"/>
    <x v="0"/>
    <x v="0"/>
    <x v="0"/>
    <n v="0"/>
    <n v="3"/>
    <n v="11"/>
    <x v="0"/>
  </r>
  <r>
    <n v="8890"/>
    <n v="1971"/>
    <x v="1"/>
    <s v="Divorced"/>
    <n v="65808"/>
    <n v="1"/>
    <n v="1"/>
    <d v="2014-05-30T00:00:00"/>
    <n v="1"/>
    <n v="155"/>
    <n v="7"/>
    <n v="80"/>
    <n v="13"/>
    <n v="7"/>
    <n v="10"/>
    <n v="3"/>
    <n v="5"/>
    <n v="1"/>
    <n v="5"/>
    <n v="6"/>
    <x v="0"/>
    <x v="0"/>
    <x v="0"/>
    <x v="0"/>
    <x v="0"/>
    <n v="0"/>
    <n v="3"/>
    <n v="11"/>
    <x v="1"/>
  </r>
  <r>
    <n v="5049"/>
    <n v="1974"/>
    <x v="1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x v="0"/>
    <x v="0"/>
    <x v="0"/>
    <x v="0"/>
    <x v="0"/>
    <n v="0"/>
    <n v="3"/>
    <n v="11"/>
    <x v="1"/>
  </r>
  <r>
    <n v="9973"/>
    <n v="1963"/>
    <x v="0"/>
    <s v="Married"/>
    <n v="50437"/>
    <n v="0"/>
    <n v="2"/>
    <d v="2012-10-17T00:00:00"/>
    <n v="28"/>
    <n v="370"/>
    <n v="9"/>
    <n v="92"/>
    <n v="6"/>
    <n v="9"/>
    <n v="4"/>
    <n v="3"/>
    <n v="7"/>
    <n v="1"/>
    <n v="8"/>
    <n v="7"/>
    <x v="0"/>
    <x v="0"/>
    <x v="0"/>
    <x v="0"/>
    <x v="0"/>
    <n v="0"/>
    <n v="3"/>
    <n v="11"/>
    <x v="1"/>
  </r>
  <r>
    <n v="7301"/>
    <n v="1982"/>
    <x v="4"/>
    <s v="Single"/>
    <n v="23616"/>
    <n v="1"/>
    <n v="0"/>
    <d v="2012-11-17T00:00:00"/>
    <n v="76"/>
    <n v="4"/>
    <n v="22"/>
    <n v="11"/>
    <n v="3"/>
    <n v="7"/>
    <n v="32"/>
    <n v="2"/>
    <n v="3"/>
    <n v="0"/>
    <n v="3"/>
    <n v="8"/>
    <x v="0"/>
    <x v="0"/>
    <x v="0"/>
    <x v="0"/>
    <x v="0"/>
    <n v="0"/>
    <n v="3"/>
    <n v="11"/>
    <x v="0"/>
  </r>
  <r>
    <n v="10882"/>
    <n v="1976"/>
    <x v="0"/>
    <s v="Married"/>
    <n v="53858"/>
    <n v="0"/>
    <n v="1"/>
    <d v="2012-11-09T00:00:00"/>
    <n v="50"/>
    <n v="407"/>
    <n v="53"/>
    <n v="221"/>
    <n v="58"/>
    <n v="150"/>
    <n v="26"/>
    <n v="4"/>
    <n v="4"/>
    <n v="3"/>
    <n v="6"/>
    <n v="4"/>
    <x v="0"/>
    <x v="0"/>
    <x v="0"/>
    <x v="0"/>
    <x v="0"/>
    <n v="0"/>
    <n v="3"/>
    <n v="11"/>
    <x v="1"/>
  </r>
  <r>
    <n v="7030"/>
    <n v="1955"/>
    <x v="1"/>
    <s v="Married"/>
    <n v="66465"/>
    <n v="0"/>
    <n v="1"/>
    <d v="2013-03-30T00:00:00"/>
    <n v="1"/>
    <n v="1200"/>
    <n v="0"/>
    <n v="204"/>
    <n v="38"/>
    <n v="29"/>
    <n v="14"/>
    <n v="3"/>
    <n v="11"/>
    <n v="9"/>
    <n v="12"/>
    <n v="6"/>
    <x v="0"/>
    <x v="0"/>
    <x v="0"/>
    <x v="1"/>
    <x v="0"/>
    <n v="0"/>
    <n v="3"/>
    <n v="11"/>
    <x v="1"/>
  </r>
  <r>
    <n v="7422"/>
    <n v="1987"/>
    <x v="0"/>
    <s v="Single"/>
    <n v="46923"/>
    <n v="1"/>
    <n v="0"/>
    <d v="2012-08-22T00:00:00"/>
    <n v="90"/>
    <n v="85"/>
    <n v="44"/>
    <n v="54"/>
    <n v="102"/>
    <n v="78"/>
    <n v="6"/>
    <n v="3"/>
    <n v="5"/>
    <n v="1"/>
    <n v="7"/>
    <n v="7"/>
    <x v="0"/>
    <x v="0"/>
    <x v="0"/>
    <x v="0"/>
    <x v="0"/>
    <n v="0"/>
    <n v="3"/>
    <n v="11"/>
    <x v="1"/>
  </r>
  <r>
    <n v="3523"/>
    <n v="1962"/>
    <x v="0"/>
    <s v="Together"/>
    <n v="75072"/>
    <n v="0"/>
    <n v="1"/>
    <d v="2013-01-23T00:00:00"/>
    <n v="83"/>
    <n v="583"/>
    <n v="34"/>
    <n v="309"/>
    <n v="0"/>
    <n v="22"/>
    <n v="125"/>
    <n v="2"/>
    <n v="5"/>
    <n v="4"/>
    <n v="8"/>
    <n v="3"/>
    <x v="0"/>
    <x v="0"/>
    <x v="0"/>
    <x v="0"/>
    <x v="0"/>
    <n v="0"/>
    <n v="3"/>
    <n v="11"/>
    <x v="1"/>
  </r>
  <r>
    <n v="7106"/>
    <n v="1943"/>
    <x v="1"/>
    <s v="Married"/>
    <n v="75865"/>
    <n v="0"/>
    <n v="0"/>
    <d v="2014-03-31T00:00:00"/>
    <n v="73"/>
    <n v="483"/>
    <n v="0"/>
    <n v="591"/>
    <n v="156"/>
    <n v="0"/>
    <n v="12"/>
    <n v="1"/>
    <n v="3"/>
    <n v="5"/>
    <n v="10"/>
    <n v="1"/>
    <x v="0"/>
    <x v="0"/>
    <x v="0"/>
    <x v="0"/>
    <x v="0"/>
    <n v="0"/>
    <n v="3"/>
    <n v="11"/>
    <x v="1"/>
  </r>
  <r>
    <n v="6504"/>
    <n v="1975"/>
    <x v="4"/>
    <s v="Together"/>
    <n v="19789"/>
    <n v="1"/>
    <n v="0"/>
    <d v="2013-11-20T00:00:00"/>
    <n v="24"/>
    <n v="2"/>
    <n v="5"/>
    <n v="9"/>
    <n v="28"/>
    <n v="6"/>
    <n v="28"/>
    <n v="3"/>
    <n v="2"/>
    <n v="1"/>
    <n v="3"/>
    <n v="5"/>
    <x v="1"/>
    <x v="0"/>
    <x v="0"/>
    <x v="0"/>
    <x v="0"/>
    <n v="0"/>
    <n v="3"/>
    <n v="11"/>
    <x v="1"/>
  </r>
  <r>
    <n v="5067"/>
    <n v="1994"/>
    <x v="0"/>
    <s v="Together"/>
    <n v="80134"/>
    <n v="0"/>
    <n v="0"/>
    <d v="2014-02-14T00:00:00"/>
    <n v="11"/>
    <n v="966"/>
    <n v="26"/>
    <n v="282"/>
    <n v="52"/>
    <n v="26"/>
    <n v="26"/>
    <n v="1"/>
    <n v="2"/>
    <n v="7"/>
    <n v="11"/>
    <n v="5"/>
    <x v="0"/>
    <x v="1"/>
    <x v="1"/>
    <x v="1"/>
    <x v="1"/>
    <n v="0"/>
    <n v="3"/>
    <n v="11"/>
    <x v="1"/>
  </r>
  <r>
    <n v="4216"/>
    <n v="1981"/>
    <x v="0"/>
    <s v="Single"/>
    <n v="91065"/>
    <n v="0"/>
    <n v="0"/>
    <d v="2013-02-22T00:00:00"/>
    <n v="33"/>
    <n v="822"/>
    <n v="114"/>
    <n v="108"/>
    <n v="179"/>
    <n v="137"/>
    <n v="114"/>
    <n v="1"/>
    <n v="7"/>
    <n v="9"/>
    <n v="9"/>
    <n v="3"/>
    <x v="0"/>
    <x v="0"/>
    <x v="1"/>
    <x v="1"/>
    <x v="0"/>
    <n v="0"/>
    <n v="3"/>
    <n v="11"/>
    <x v="0"/>
  </r>
  <r>
    <n v="8581"/>
    <n v="1971"/>
    <x v="2"/>
    <s v="Married"/>
    <n v="49505"/>
    <n v="1"/>
    <n v="1"/>
    <d v="2013-03-05T00:00:00"/>
    <n v="4"/>
    <n v="604"/>
    <n v="0"/>
    <n v="100"/>
    <n v="19"/>
    <n v="0"/>
    <n v="28"/>
    <n v="9"/>
    <n v="10"/>
    <n v="2"/>
    <n v="8"/>
    <n v="8"/>
    <x v="0"/>
    <x v="0"/>
    <x v="0"/>
    <x v="0"/>
    <x v="0"/>
    <n v="0"/>
    <n v="3"/>
    <n v="11"/>
    <x v="1"/>
  </r>
  <r>
    <n v="5929"/>
    <n v="1973"/>
    <x v="1"/>
    <s v="Married"/>
    <n v="37401"/>
    <n v="1"/>
    <n v="0"/>
    <d v="2014-05-06T00:00:00"/>
    <n v="14"/>
    <n v="19"/>
    <n v="3"/>
    <n v="19"/>
    <n v="3"/>
    <n v="1"/>
    <n v="3"/>
    <n v="2"/>
    <n v="2"/>
    <n v="0"/>
    <n v="3"/>
    <n v="7"/>
    <x v="0"/>
    <x v="0"/>
    <x v="0"/>
    <x v="0"/>
    <x v="0"/>
    <n v="0"/>
    <n v="3"/>
    <n v="11"/>
    <x v="1"/>
  </r>
  <r>
    <n v="3129"/>
    <n v="1983"/>
    <x v="0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x v="0"/>
    <x v="0"/>
    <x v="0"/>
    <x v="0"/>
    <x v="0"/>
    <n v="0"/>
    <n v="3"/>
    <n v="11"/>
    <x v="1"/>
  </r>
  <r>
    <n v="6528"/>
    <n v="1982"/>
    <x v="2"/>
    <s v="Together"/>
    <n v="18492"/>
    <n v="1"/>
    <n v="0"/>
    <d v="2014-06-05T00:00:00"/>
    <n v="75"/>
    <n v="2"/>
    <n v="2"/>
    <n v="2"/>
    <n v="2"/>
    <n v="1"/>
    <n v="1"/>
    <n v="1"/>
    <n v="1"/>
    <n v="0"/>
    <n v="2"/>
    <n v="8"/>
    <x v="0"/>
    <x v="0"/>
    <x v="0"/>
    <x v="0"/>
    <x v="0"/>
    <n v="0"/>
    <n v="3"/>
    <n v="11"/>
    <x v="1"/>
  </r>
  <r>
    <n v="1361"/>
    <n v="1974"/>
    <x v="2"/>
    <s v="Married"/>
    <n v="82584"/>
    <n v="0"/>
    <n v="0"/>
    <d v="2013-06-04T00:00:00"/>
    <n v="26"/>
    <n v="1076"/>
    <n v="68"/>
    <n v="103"/>
    <n v="29"/>
    <n v="91"/>
    <n v="68"/>
    <n v="1"/>
    <n v="3"/>
    <n v="4"/>
    <n v="8"/>
    <n v="1"/>
    <x v="0"/>
    <x v="1"/>
    <x v="1"/>
    <x v="0"/>
    <x v="0"/>
    <n v="0"/>
    <n v="3"/>
    <n v="11"/>
    <x v="0"/>
  </r>
  <r>
    <n v="6932"/>
    <n v="1941"/>
    <x v="1"/>
    <s v="Married"/>
    <n v="93027"/>
    <n v="0"/>
    <n v="0"/>
    <d v="2013-04-13T00:00:00"/>
    <n v="77"/>
    <n v="1285"/>
    <n v="42"/>
    <n v="716"/>
    <n v="55"/>
    <n v="0"/>
    <n v="21"/>
    <n v="0"/>
    <n v="7"/>
    <n v="10"/>
    <n v="5"/>
    <n v="2"/>
    <x v="0"/>
    <x v="0"/>
    <x v="1"/>
    <x v="0"/>
    <x v="0"/>
    <n v="0"/>
    <n v="3"/>
    <n v="11"/>
    <x v="1"/>
  </r>
  <r>
    <n v="7284"/>
    <n v="1953"/>
    <x v="0"/>
    <s v="Married"/>
    <n v="48686"/>
    <n v="1"/>
    <n v="2"/>
    <d v="2013-12-04T00:00:00"/>
    <n v="8"/>
    <n v="10"/>
    <n v="0"/>
    <n v="7"/>
    <n v="2"/>
    <n v="0"/>
    <n v="1"/>
    <n v="1"/>
    <n v="1"/>
    <n v="0"/>
    <n v="2"/>
    <n v="8"/>
    <x v="0"/>
    <x v="0"/>
    <x v="0"/>
    <x v="0"/>
    <x v="0"/>
    <n v="0"/>
    <n v="3"/>
    <n v="11"/>
    <x v="1"/>
  </r>
  <r>
    <n v="1340"/>
    <n v="1986"/>
    <x v="0"/>
    <s v="Married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x v="0"/>
    <x v="1"/>
    <x v="1"/>
    <x v="1"/>
    <x v="0"/>
    <n v="0"/>
    <n v="3"/>
    <n v="11"/>
    <x v="1"/>
  </r>
  <r>
    <n v="8746"/>
    <n v="1989"/>
    <x v="0"/>
    <s v="Married"/>
    <n v="75433"/>
    <n v="1"/>
    <n v="0"/>
    <d v="2014-04-05T00:00:00"/>
    <n v="28"/>
    <n v="800"/>
    <n v="0"/>
    <n v="297"/>
    <n v="0"/>
    <n v="34"/>
    <n v="57"/>
    <n v="2"/>
    <n v="2"/>
    <n v="5"/>
    <n v="10"/>
    <n v="6"/>
    <x v="0"/>
    <x v="1"/>
    <x v="0"/>
    <x v="1"/>
    <x v="0"/>
    <n v="0"/>
    <n v="3"/>
    <n v="11"/>
    <x v="1"/>
  </r>
  <r>
    <n v="5987"/>
    <n v="1989"/>
    <x v="4"/>
    <s v="Together"/>
    <n v="10404"/>
    <n v="1"/>
    <n v="0"/>
    <d v="2014-05-04T00:00:00"/>
    <n v="52"/>
    <n v="2"/>
    <n v="2"/>
    <n v="11"/>
    <n v="10"/>
    <n v="6"/>
    <n v="12"/>
    <n v="2"/>
    <n v="1"/>
    <n v="0"/>
    <n v="4"/>
    <n v="5"/>
    <x v="0"/>
    <x v="0"/>
    <x v="0"/>
    <x v="0"/>
    <x v="0"/>
    <n v="0"/>
    <n v="3"/>
    <n v="11"/>
    <x v="1"/>
  </r>
  <r>
    <n v="3767"/>
    <n v="1968"/>
    <x v="0"/>
    <s v="Married"/>
    <n v="61314"/>
    <n v="0"/>
    <n v="1"/>
    <d v="2013-04-25T00:00:00"/>
    <n v="1"/>
    <n v="378"/>
    <n v="0"/>
    <n v="189"/>
    <n v="97"/>
    <n v="172"/>
    <n v="172"/>
    <n v="2"/>
    <n v="5"/>
    <n v="5"/>
    <n v="12"/>
    <n v="3"/>
    <x v="0"/>
    <x v="0"/>
    <x v="0"/>
    <x v="0"/>
    <x v="0"/>
    <n v="0"/>
    <n v="3"/>
    <n v="11"/>
    <x v="1"/>
  </r>
  <r>
    <n v="3725"/>
    <n v="1961"/>
    <x v="1"/>
    <s v="Single"/>
    <n v="84865"/>
    <n v="0"/>
    <n v="0"/>
    <d v="2013-05-09T00:00:00"/>
    <n v="1"/>
    <n v="1248"/>
    <n v="16"/>
    <n v="349"/>
    <n v="43"/>
    <n v="16"/>
    <n v="16"/>
    <n v="1"/>
    <n v="2"/>
    <n v="4"/>
    <n v="9"/>
    <n v="4"/>
    <x v="0"/>
    <x v="1"/>
    <x v="1"/>
    <x v="1"/>
    <x v="1"/>
    <n v="0"/>
    <n v="3"/>
    <n v="11"/>
    <x v="0"/>
  </r>
  <r>
    <n v="4324"/>
    <n v="1989"/>
    <x v="0"/>
    <s v="Married"/>
    <n v="42387"/>
    <n v="1"/>
    <n v="0"/>
    <d v="2012-10-29T00:00:00"/>
    <n v="42"/>
    <n v="235"/>
    <n v="0"/>
    <n v="235"/>
    <n v="19"/>
    <n v="4"/>
    <n v="191"/>
    <n v="5"/>
    <n v="8"/>
    <n v="1"/>
    <n v="7"/>
    <n v="8"/>
    <x v="0"/>
    <x v="0"/>
    <x v="0"/>
    <x v="0"/>
    <x v="0"/>
    <n v="0"/>
    <n v="3"/>
    <n v="11"/>
    <x v="1"/>
  </r>
  <r>
    <n v="238"/>
    <n v="1967"/>
    <x v="4"/>
    <s v="Together"/>
    <n v="67309"/>
    <n v="1"/>
    <n v="1"/>
    <d v="2013-01-23T00:00:00"/>
    <n v="76"/>
    <n v="515"/>
    <n v="47"/>
    <n v="181"/>
    <n v="149"/>
    <n v="95"/>
    <n v="95"/>
    <n v="15"/>
    <n v="9"/>
    <n v="6"/>
    <n v="9"/>
    <n v="7"/>
    <x v="0"/>
    <x v="0"/>
    <x v="0"/>
    <x v="0"/>
    <x v="0"/>
    <n v="0"/>
    <n v="3"/>
    <n v="11"/>
    <x v="1"/>
  </r>
  <r>
    <n v="6694"/>
    <n v="1964"/>
    <x v="0"/>
    <s v="Married"/>
    <n v="75236"/>
    <n v="0"/>
    <n v="1"/>
    <d v="2013-11-25T00:00:00"/>
    <n v="27"/>
    <n v="438"/>
    <n v="66"/>
    <n v="400"/>
    <n v="12"/>
    <n v="38"/>
    <n v="114"/>
    <n v="1"/>
    <n v="8"/>
    <n v="3"/>
    <n v="13"/>
    <n v="4"/>
    <x v="0"/>
    <x v="0"/>
    <x v="0"/>
    <x v="0"/>
    <x v="0"/>
    <n v="0"/>
    <n v="3"/>
    <n v="11"/>
    <x v="1"/>
  </r>
  <r>
    <n v="498"/>
    <n v="1970"/>
    <x v="0"/>
    <s v="Single"/>
    <n v="30015"/>
    <n v="1"/>
    <n v="0"/>
    <d v="2014-02-02T00:00:00"/>
    <n v="28"/>
    <n v="25"/>
    <n v="0"/>
    <n v="22"/>
    <n v="2"/>
    <n v="3"/>
    <n v="5"/>
    <n v="2"/>
    <n v="1"/>
    <n v="0"/>
    <n v="4"/>
    <n v="5"/>
    <x v="0"/>
    <x v="0"/>
    <x v="0"/>
    <x v="0"/>
    <x v="0"/>
    <n v="0"/>
    <n v="3"/>
    <n v="11"/>
    <x v="1"/>
  </r>
  <r>
    <n v="9347"/>
    <n v="1956"/>
    <x v="2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x v="0"/>
    <x v="0"/>
    <x v="0"/>
    <x v="0"/>
    <x v="0"/>
    <n v="0"/>
    <n v="3"/>
    <n v="11"/>
    <x v="1"/>
  </r>
  <r>
    <n v="9699"/>
    <n v="1966"/>
    <x v="0"/>
    <s v="Divorced"/>
    <n v="67272"/>
    <n v="0"/>
    <n v="1"/>
    <d v="2013-12-21T00:00:00"/>
    <n v="12"/>
    <n v="357"/>
    <n v="35"/>
    <n v="271"/>
    <n v="28"/>
    <n v="28"/>
    <n v="14"/>
    <n v="3"/>
    <n v="6"/>
    <n v="2"/>
    <n v="12"/>
    <n v="5"/>
    <x v="0"/>
    <x v="0"/>
    <x v="0"/>
    <x v="0"/>
    <x v="0"/>
    <n v="0"/>
    <n v="3"/>
    <n v="11"/>
    <x v="1"/>
  </r>
  <r>
    <n v="10664"/>
    <n v="1949"/>
    <x v="2"/>
    <s v="Widow"/>
    <n v="51529"/>
    <n v="0"/>
    <n v="1"/>
    <d v="2013-09-07T00:00:00"/>
    <n v="14"/>
    <n v="400"/>
    <n v="4"/>
    <n v="35"/>
    <n v="6"/>
    <n v="0"/>
    <n v="22"/>
    <n v="2"/>
    <n v="9"/>
    <n v="1"/>
    <n v="5"/>
    <n v="8"/>
    <x v="0"/>
    <x v="0"/>
    <x v="0"/>
    <x v="0"/>
    <x v="0"/>
    <n v="0"/>
    <n v="3"/>
    <n v="11"/>
    <x v="1"/>
  </r>
  <r>
    <n v="5455"/>
    <n v="1971"/>
    <x v="1"/>
    <s v="Married"/>
    <n v="32011"/>
    <n v="1"/>
    <n v="0"/>
    <d v="2013-08-22T00:00:00"/>
    <n v="89"/>
    <n v="99"/>
    <n v="0"/>
    <n v="15"/>
    <n v="2"/>
    <n v="1"/>
    <n v="5"/>
    <n v="3"/>
    <n v="2"/>
    <n v="1"/>
    <n v="4"/>
    <n v="7"/>
    <x v="0"/>
    <x v="0"/>
    <x v="0"/>
    <x v="0"/>
    <x v="0"/>
    <n v="0"/>
    <n v="3"/>
    <n v="11"/>
    <x v="1"/>
  </r>
  <r>
    <n v="456"/>
    <n v="1986"/>
    <x v="4"/>
    <s v="Married"/>
    <n v="7500"/>
    <n v="1"/>
    <n v="0"/>
    <d v="2013-02-07T00:00:00"/>
    <n v="96"/>
    <n v="1"/>
    <n v="11"/>
    <n v="5"/>
    <n v="4"/>
    <n v="6"/>
    <n v="9"/>
    <n v="2"/>
    <n v="2"/>
    <n v="0"/>
    <n v="3"/>
    <n v="8"/>
    <x v="0"/>
    <x v="0"/>
    <x v="0"/>
    <x v="0"/>
    <x v="0"/>
    <n v="0"/>
    <n v="3"/>
    <n v="11"/>
    <x v="1"/>
  </r>
  <r>
    <n v="5012"/>
    <n v="1989"/>
    <x v="0"/>
    <s v="Married"/>
    <n v="28691"/>
    <n v="1"/>
    <n v="0"/>
    <d v="2013-07-04T00:00:00"/>
    <n v="56"/>
    <n v="5"/>
    <n v="4"/>
    <n v="13"/>
    <n v="8"/>
    <n v="0"/>
    <n v="4"/>
    <n v="1"/>
    <n v="1"/>
    <n v="0"/>
    <n v="3"/>
    <n v="8"/>
    <x v="0"/>
    <x v="0"/>
    <x v="0"/>
    <x v="0"/>
    <x v="0"/>
    <n v="0"/>
    <n v="3"/>
    <n v="11"/>
    <x v="1"/>
  </r>
  <r>
    <n v="7495"/>
    <n v="1948"/>
    <x v="1"/>
    <s v="Married"/>
    <n v="56223"/>
    <n v="0"/>
    <n v="1"/>
    <d v="2013-12-20T00:00:00"/>
    <n v="72"/>
    <n v="77"/>
    <n v="28"/>
    <n v="31"/>
    <n v="16"/>
    <n v="0"/>
    <n v="4"/>
    <n v="2"/>
    <n v="2"/>
    <n v="1"/>
    <n v="5"/>
    <n v="4"/>
    <x v="0"/>
    <x v="0"/>
    <x v="0"/>
    <x v="0"/>
    <x v="0"/>
    <n v="0"/>
    <n v="3"/>
    <n v="11"/>
    <x v="1"/>
  </r>
  <r>
    <n v="5029"/>
    <n v="1946"/>
    <x v="0"/>
    <s v="Married"/>
    <n v="18100"/>
    <n v="0"/>
    <n v="0"/>
    <d v="2013-08-06T00:00:00"/>
    <n v="14"/>
    <n v="3"/>
    <n v="1"/>
    <n v="2"/>
    <n v="4"/>
    <n v="3"/>
    <n v="1"/>
    <n v="1"/>
    <n v="0"/>
    <n v="0"/>
    <n v="3"/>
    <n v="5"/>
    <x v="0"/>
    <x v="0"/>
    <x v="0"/>
    <x v="0"/>
    <x v="0"/>
    <n v="0"/>
    <n v="3"/>
    <n v="11"/>
    <x v="1"/>
  </r>
  <r>
    <n v="10642"/>
    <n v="1989"/>
    <x v="0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x v="0"/>
    <x v="0"/>
    <x v="0"/>
    <x v="0"/>
    <x v="0"/>
    <n v="0"/>
    <n v="3"/>
    <n v="11"/>
    <x v="1"/>
  </r>
  <r>
    <n v="2106"/>
    <n v="1974"/>
    <x v="4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x v="0"/>
    <x v="0"/>
    <x v="0"/>
    <x v="0"/>
    <x v="0"/>
    <n v="0"/>
    <n v="3"/>
    <n v="11"/>
    <x v="1"/>
  </r>
  <r>
    <n v="10364"/>
    <n v="1959"/>
    <x v="0"/>
    <s v="Divorced"/>
    <n v="23295"/>
    <n v="0"/>
    <n v="0"/>
    <d v="2013-07-13T00:00:00"/>
    <n v="72"/>
    <n v="0"/>
    <n v="0"/>
    <n v="1"/>
    <n v="2"/>
    <n v="12"/>
    <n v="5"/>
    <n v="1"/>
    <n v="1"/>
    <n v="0"/>
    <n v="2"/>
    <n v="8"/>
    <x v="0"/>
    <x v="0"/>
    <x v="0"/>
    <x v="0"/>
    <x v="0"/>
    <n v="0"/>
    <n v="3"/>
    <n v="11"/>
    <x v="1"/>
  </r>
  <r>
    <n v="5954"/>
    <n v="1972"/>
    <x v="2"/>
    <s v="Divorced"/>
    <n v="42618"/>
    <n v="1"/>
    <n v="0"/>
    <d v="2013-10-09T00:00:00"/>
    <n v="92"/>
    <n v="76"/>
    <n v="14"/>
    <n v="74"/>
    <n v="13"/>
    <n v="5"/>
    <n v="10"/>
    <n v="2"/>
    <n v="5"/>
    <n v="0"/>
    <n v="4"/>
    <n v="8"/>
    <x v="0"/>
    <x v="0"/>
    <x v="0"/>
    <x v="0"/>
    <x v="0"/>
    <n v="0"/>
    <n v="3"/>
    <n v="11"/>
    <x v="1"/>
  </r>
  <r>
    <n v="1137"/>
    <n v="1964"/>
    <x v="0"/>
    <s v="Single"/>
    <n v="81246"/>
    <n v="0"/>
    <n v="0"/>
    <d v="2013-12-29T00:00:00"/>
    <n v="87"/>
    <n v="398"/>
    <n v="190"/>
    <n v="537"/>
    <n v="61"/>
    <n v="156"/>
    <n v="37"/>
    <n v="1"/>
    <n v="4"/>
    <n v="5"/>
    <n v="7"/>
    <n v="1"/>
    <x v="1"/>
    <x v="0"/>
    <x v="0"/>
    <x v="1"/>
    <x v="0"/>
    <n v="0"/>
    <n v="3"/>
    <n v="11"/>
    <x v="1"/>
  </r>
  <r>
    <n v="2541"/>
    <n v="1976"/>
    <x v="0"/>
    <s v="Married"/>
    <n v="24027"/>
    <n v="1"/>
    <n v="0"/>
    <d v="2013-06-09T00:00:00"/>
    <n v="7"/>
    <n v="14"/>
    <n v="7"/>
    <n v="11"/>
    <n v="11"/>
    <n v="0"/>
    <n v="5"/>
    <n v="2"/>
    <n v="2"/>
    <n v="0"/>
    <n v="3"/>
    <n v="8"/>
    <x v="0"/>
    <x v="0"/>
    <x v="0"/>
    <x v="0"/>
    <x v="0"/>
    <n v="0"/>
    <n v="3"/>
    <n v="11"/>
    <x v="1"/>
  </r>
  <r>
    <n v="1142"/>
    <n v="1953"/>
    <x v="1"/>
    <s v="Married"/>
    <n v="55707"/>
    <n v="0"/>
    <n v="1"/>
    <d v="2013-12-22T00:00:00"/>
    <n v="91"/>
    <n v="208"/>
    <n v="7"/>
    <n v="82"/>
    <n v="30"/>
    <n v="66"/>
    <n v="35"/>
    <n v="2"/>
    <n v="3"/>
    <n v="2"/>
    <n v="9"/>
    <n v="3"/>
    <x v="0"/>
    <x v="0"/>
    <x v="0"/>
    <x v="0"/>
    <x v="0"/>
    <n v="0"/>
    <n v="3"/>
    <n v="11"/>
    <x v="1"/>
  </r>
  <r>
    <n v="2276"/>
    <n v="1955"/>
    <x v="0"/>
    <s v="Single"/>
    <n v="57959"/>
    <n v="0"/>
    <n v="1"/>
    <d v="2013-05-02T00:00:00"/>
    <n v="71"/>
    <n v="430"/>
    <n v="16"/>
    <n v="322"/>
    <n v="43"/>
    <n v="24"/>
    <n v="33"/>
    <n v="5"/>
    <n v="4"/>
    <n v="7"/>
    <n v="11"/>
    <n v="3"/>
    <x v="0"/>
    <x v="0"/>
    <x v="0"/>
    <x v="0"/>
    <x v="0"/>
    <n v="0"/>
    <n v="3"/>
    <n v="11"/>
    <x v="1"/>
  </r>
  <r>
    <n v="2807"/>
    <n v="1969"/>
    <x v="0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x v="0"/>
    <x v="0"/>
    <x v="0"/>
    <x v="0"/>
    <x v="0"/>
    <n v="0"/>
    <n v="3"/>
    <n v="11"/>
    <x v="1"/>
  </r>
  <r>
    <n v="6471"/>
    <n v="1971"/>
    <x v="2"/>
    <s v="Single"/>
    <n v="36230"/>
    <n v="1"/>
    <n v="0"/>
    <d v="2013-10-17T00:00:00"/>
    <n v="17"/>
    <n v="14"/>
    <n v="2"/>
    <n v="30"/>
    <n v="8"/>
    <n v="2"/>
    <n v="3"/>
    <n v="1"/>
    <n v="2"/>
    <n v="0"/>
    <n v="4"/>
    <n v="5"/>
    <x v="0"/>
    <x v="0"/>
    <x v="0"/>
    <x v="0"/>
    <x v="0"/>
    <n v="0"/>
    <n v="3"/>
    <n v="11"/>
    <x v="1"/>
  </r>
  <r>
    <n v="6131"/>
    <n v="1980"/>
    <x v="4"/>
    <s v="Married"/>
    <n v="70829"/>
    <n v="1"/>
    <n v="1"/>
    <d v="2013-12-01T00:00:00"/>
    <n v="87"/>
    <n v="141"/>
    <n v="70"/>
    <n v="106"/>
    <n v="72"/>
    <n v="19"/>
    <n v="23"/>
    <n v="2"/>
    <n v="4"/>
    <n v="2"/>
    <n v="8"/>
    <n v="3"/>
    <x v="0"/>
    <x v="0"/>
    <x v="0"/>
    <x v="0"/>
    <x v="0"/>
    <n v="0"/>
    <n v="3"/>
    <n v="11"/>
    <x v="1"/>
  </r>
  <r>
    <n v="6233"/>
    <n v="1976"/>
    <x v="0"/>
    <s v="Married"/>
    <n v="65991"/>
    <n v="0"/>
    <n v="1"/>
    <d v="2012-09-07T00:00:00"/>
    <n v="21"/>
    <n v="507"/>
    <n v="19"/>
    <n v="364"/>
    <n v="25"/>
    <n v="47"/>
    <n v="9"/>
    <n v="3"/>
    <n v="9"/>
    <n v="5"/>
    <n v="10"/>
    <n v="7"/>
    <x v="0"/>
    <x v="0"/>
    <x v="0"/>
    <x v="0"/>
    <x v="0"/>
    <n v="0"/>
    <n v="3"/>
    <n v="11"/>
    <x v="1"/>
  </r>
  <r>
    <n v="4148"/>
    <n v="1972"/>
    <x v="0"/>
    <s v="Married"/>
    <n v="38988"/>
    <n v="1"/>
    <n v="2"/>
    <d v="2012-08-20T00:00:00"/>
    <n v="90"/>
    <n v="164"/>
    <n v="24"/>
    <n v="103"/>
    <n v="12"/>
    <n v="3"/>
    <n v="42"/>
    <n v="7"/>
    <n v="5"/>
    <n v="1"/>
    <n v="6"/>
    <n v="8"/>
    <x v="0"/>
    <x v="0"/>
    <x v="0"/>
    <x v="0"/>
    <x v="0"/>
    <n v="0"/>
    <n v="3"/>
    <n v="11"/>
    <x v="1"/>
  </r>
  <r>
    <n v="4947"/>
    <n v="1966"/>
    <x v="4"/>
    <s v="Single"/>
    <n v="89572"/>
    <n v="0"/>
    <n v="0"/>
    <d v="2012-09-15T00:00:00"/>
    <n v="44"/>
    <n v="606"/>
    <n v="24"/>
    <n v="974"/>
    <n v="197"/>
    <n v="194"/>
    <n v="64"/>
    <n v="1"/>
    <n v="7"/>
    <n v="7"/>
    <n v="9"/>
    <n v="4"/>
    <x v="0"/>
    <x v="1"/>
    <x v="0"/>
    <x v="1"/>
    <x v="0"/>
    <n v="0"/>
    <n v="3"/>
    <n v="11"/>
    <x v="0"/>
  </r>
  <r>
    <n v="3225"/>
    <n v="1984"/>
    <x v="2"/>
    <s v="Married"/>
    <n v="42207"/>
    <n v="1"/>
    <n v="0"/>
    <d v="2013-04-01T00:00:00"/>
    <n v="71"/>
    <n v="116"/>
    <n v="11"/>
    <n v="72"/>
    <n v="3"/>
    <n v="17"/>
    <n v="46"/>
    <n v="4"/>
    <n v="4"/>
    <n v="1"/>
    <n v="5"/>
    <n v="6"/>
    <x v="1"/>
    <x v="0"/>
    <x v="0"/>
    <x v="0"/>
    <x v="0"/>
    <n v="0"/>
    <n v="3"/>
    <n v="11"/>
    <x v="0"/>
  </r>
  <r>
    <n v="7540"/>
    <n v="1952"/>
    <x v="0"/>
    <s v="Married"/>
    <n v="50300"/>
    <n v="0"/>
    <n v="1"/>
    <d v="2014-05-25T00:00:00"/>
    <n v="52"/>
    <n v="143"/>
    <n v="15"/>
    <n v="60"/>
    <n v="24"/>
    <n v="23"/>
    <n v="5"/>
    <n v="2"/>
    <n v="2"/>
    <n v="1"/>
    <n v="8"/>
    <n v="2"/>
    <x v="0"/>
    <x v="0"/>
    <x v="0"/>
    <x v="0"/>
    <x v="0"/>
    <n v="0"/>
    <n v="3"/>
    <n v="11"/>
    <x v="1"/>
  </r>
  <r>
    <n v="10648"/>
    <n v="1982"/>
    <x v="4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x v="0"/>
    <x v="0"/>
    <x v="0"/>
    <x v="0"/>
    <x v="0"/>
    <n v="0"/>
    <n v="3"/>
    <n v="11"/>
    <x v="1"/>
  </r>
  <r>
    <n v="1992"/>
    <n v="1964"/>
    <x v="0"/>
    <s v="Married"/>
    <n v="60597"/>
    <n v="0"/>
    <n v="1"/>
    <d v="2014-01-01T00:00:00"/>
    <n v="2"/>
    <n v="522"/>
    <n v="0"/>
    <n v="257"/>
    <n v="32"/>
    <n v="16"/>
    <n v="66"/>
    <n v="4"/>
    <n v="2"/>
    <n v="2"/>
    <n v="8"/>
    <n v="7"/>
    <x v="0"/>
    <x v="0"/>
    <x v="0"/>
    <x v="1"/>
    <x v="0"/>
    <n v="0"/>
    <n v="3"/>
    <n v="11"/>
    <x v="0"/>
  </r>
  <r>
    <n v="7851"/>
    <n v="1949"/>
    <x v="0"/>
    <s v="Widow"/>
    <n v="70165"/>
    <n v="0"/>
    <n v="0"/>
    <d v="2013-09-22T00:00:00"/>
    <n v="60"/>
    <n v="161"/>
    <n v="0"/>
    <n v="253"/>
    <n v="199"/>
    <n v="191"/>
    <n v="122"/>
    <n v="1"/>
    <n v="3"/>
    <n v="7"/>
    <n v="11"/>
    <n v="1"/>
    <x v="0"/>
    <x v="0"/>
    <x v="0"/>
    <x v="0"/>
    <x v="0"/>
    <n v="0"/>
    <n v="3"/>
    <n v="11"/>
    <x v="1"/>
  </r>
  <r>
    <n v="8594"/>
    <n v="1958"/>
    <x v="1"/>
    <s v="Widow"/>
    <n v="50520"/>
    <n v="0"/>
    <n v="1"/>
    <d v="2014-01-28T00:00:00"/>
    <n v="25"/>
    <n v="112"/>
    <n v="0"/>
    <n v="6"/>
    <n v="2"/>
    <n v="1"/>
    <n v="14"/>
    <n v="2"/>
    <n v="3"/>
    <n v="1"/>
    <n v="3"/>
    <n v="6"/>
    <x v="0"/>
    <x v="0"/>
    <x v="0"/>
    <x v="0"/>
    <x v="0"/>
    <n v="0"/>
    <n v="3"/>
    <n v="11"/>
    <x v="1"/>
  </r>
  <r>
    <n v="7059"/>
    <n v="1963"/>
    <x v="0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x v="1"/>
    <x v="0"/>
    <x v="0"/>
    <x v="0"/>
    <x v="0"/>
    <n v="0"/>
    <n v="3"/>
    <n v="11"/>
    <x v="1"/>
  </r>
  <r>
    <n v="2815"/>
    <n v="1975"/>
    <x v="0"/>
    <s v="Married"/>
    <n v="33183"/>
    <n v="1"/>
    <n v="0"/>
    <d v="2014-02-24T00:00:00"/>
    <n v="46"/>
    <n v="7"/>
    <n v="5"/>
    <n v="39"/>
    <n v="17"/>
    <n v="15"/>
    <n v="37"/>
    <n v="2"/>
    <n v="4"/>
    <n v="0"/>
    <n v="3"/>
    <n v="7"/>
    <x v="0"/>
    <x v="0"/>
    <x v="0"/>
    <x v="0"/>
    <x v="0"/>
    <n v="0"/>
    <n v="3"/>
    <n v="11"/>
    <x v="1"/>
  </r>
  <r>
    <n v="2416"/>
    <n v="1969"/>
    <x v="1"/>
    <s v="Single"/>
    <n v="66582"/>
    <n v="0"/>
    <n v="0"/>
    <d v="2014-03-03T00:00:00"/>
    <n v="83"/>
    <n v="789"/>
    <n v="25"/>
    <n v="420"/>
    <n v="16"/>
    <n v="38"/>
    <n v="0"/>
    <n v="1"/>
    <n v="2"/>
    <n v="8"/>
    <n v="9"/>
    <n v="1"/>
    <x v="0"/>
    <x v="0"/>
    <x v="0"/>
    <x v="0"/>
    <x v="0"/>
    <n v="0"/>
    <n v="3"/>
    <n v="11"/>
    <x v="1"/>
  </r>
  <r>
    <n v="7999"/>
    <n v="1955"/>
    <x v="1"/>
    <s v="Together"/>
    <n v="75261"/>
    <n v="0"/>
    <n v="0"/>
    <d v="2013-04-23T00:00:00"/>
    <n v="17"/>
    <n v="1239"/>
    <n v="17"/>
    <n v="413"/>
    <n v="23"/>
    <n v="34"/>
    <n v="17"/>
    <n v="1"/>
    <n v="5"/>
    <n v="6"/>
    <n v="5"/>
    <n v="2"/>
    <x v="0"/>
    <x v="1"/>
    <x v="1"/>
    <x v="0"/>
    <x v="0"/>
    <n v="0"/>
    <n v="3"/>
    <n v="11"/>
    <x v="0"/>
  </r>
  <r>
    <n v="9213"/>
    <n v="1970"/>
    <x v="0"/>
    <s v="Widow"/>
    <n v="31880"/>
    <n v="1"/>
    <n v="0"/>
    <d v="2012-10-31T00:00:00"/>
    <n v="13"/>
    <n v="4"/>
    <n v="1"/>
    <n v="5"/>
    <n v="2"/>
    <n v="0"/>
    <n v="3"/>
    <n v="1"/>
    <n v="1"/>
    <n v="0"/>
    <n v="2"/>
    <n v="8"/>
    <x v="0"/>
    <x v="0"/>
    <x v="0"/>
    <x v="0"/>
    <x v="0"/>
    <n v="0"/>
    <n v="3"/>
    <n v="11"/>
    <x v="1"/>
  </r>
  <r>
    <n v="9697"/>
    <n v="1951"/>
    <x v="0"/>
    <s v="Married"/>
    <n v="53790"/>
    <n v="0"/>
    <n v="2"/>
    <d v="2014-03-06T00:00:00"/>
    <n v="86"/>
    <n v="335"/>
    <n v="42"/>
    <n v="127"/>
    <n v="28"/>
    <n v="5"/>
    <n v="5"/>
    <n v="3"/>
    <n v="7"/>
    <n v="2"/>
    <n v="8"/>
    <n v="6"/>
    <x v="0"/>
    <x v="0"/>
    <x v="0"/>
    <x v="0"/>
    <x v="0"/>
    <n v="0"/>
    <n v="3"/>
    <n v="11"/>
    <x v="1"/>
  </r>
  <r>
    <n v="3916"/>
    <n v="1971"/>
    <x v="1"/>
    <s v="Together"/>
    <n v="49269"/>
    <n v="1"/>
    <n v="0"/>
    <d v="2012-08-15T00:00:00"/>
    <n v="92"/>
    <n v="639"/>
    <n v="8"/>
    <n v="166"/>
    <n v="11"/>
    <n v="8"/>
    <n v="58"/>
    <n v="3"/>
    <n v="7"/>
    <n v="3"/>
    <n v="12"/>
    <n v="7"/>
    <x v="0"/>
    <x v="0"/>
    <x v="0"/>
    <x v="0"/>
    <x v="0"/>
    <n v="0"/>
    <n v="3"/>
    <n v="11"/>
    <x v="1"/>
  </r>
  <r>
    <n v="2021"/>
    <n v="1975"/>
    <x v="0"/>
    <s v="Married"/>
    <n v="61456"/>
    <n v="0"/>
    <n v="1"/>
    <d v="2013-03-27T00:00:00"/>
    <n v="47"/>
    <n v="563"/>
    <n v="76"/>
    <n v="384"/>
    <n v="84"/>
    <n v="192"/>
    <n v="89"/>
    <n v="4"/>
    <n v="6"/>
    <n v="10"/>
    <n v="13"/>
    <n v="4"/>
    <x v="0"/>
    <x v="0"/>
    <x v="0"/>
    <x v="0"/>
    <x v="0"/>
    <n v="0"/>
    <n v="3"/>
    <n v="11"/>
    <x v="1"/>
  </r>
  <r>
    <n v="1581"/>
    <n v="1980"/>
    <x v="0"/>
    <s v="Married"/>
    <n v="37406"/>
    <n v="1"/>
    <n v="0"/>
    <d v="2013-10-10T00:00:00"/>
    <n v="18"/>
    <n v="2"/>
    <n v="0"/>
    <n v="8"/>
    <n v="2"/>
    <n v="2"/>
    <n v="3"/>
    <n v="1"/>
    <n v="1"/>
    <n v="0"/>
    <n v="2"/>
    <n v="8"/>
    <x v="0"/>
    <x v="0"/>
    <x v="0"/>
    <x v="0"/>
    <x v="0"/>
    <n v="0"/>
    <n v="3"/>
    <n v="11"/>
    <x v="0"/>
  </r>
  <r>
    <n v="564"/>
    <n v="1981"/>
    <x v="1"/>
    <s v="Together"/>
    <n v="56937"/>
    <n v="1"/>
    <n v="0"/>
    <d v="2012-08-04T00:00:00"/>
    <n v="81"/>
    <n v="746"/>
    <n v="8"/>
    <n v="125"/>
    <n v="11"/>
    <n v="8"/>
    <n v="8"/>
    <n v="7"/>
    <n v="8"/>
    <n v="6"/>
    <n v="9"/>
    <n v="6"/>
    <x v="0"/>
    <x v="1"/>
    <x v="0"/>
    <x v="0"/>
    <x v="0"/>
    <n v="0"/>
    <n v="3"/>
    <n v="11"/>
    <x v="0"/>
  </r>
  <r>
    <n v="6619"/>
    <n v="1978"/>
    <x v="0"/>
    <s v="Married"/>
    <n v="38415"/>
    <n v="1"/>
    <n v="1"/>
    <d v="2013-01-02T00:00:00"/>
    <n v="91"/>
    <n v="22"/>
    <n v="1"/>
    <n v="13"/>
    <n v="4"/>
    <n v="0"/>
    <n v="4"/>
    <n v="2"/>
    <n v="1"/>
    <n v="0"/>
    <n v="3"/>
    <n v="7"/>
    <x v="0"/>
    <x v="0"/>
    <x v="0"/>
    <x v="0"/>
    <x v="0"/>
    <n v="0"/>
    <n v="3"/>
    <n v="11"/>
    <x v="1"/>
  </r>
  <r>
    <n v="9081"/>
    <n v="1988"/>
    <x v="0"/>
    <s v="Single"/>
    <n v="20518"/>
    <n v="1"/>
    <n v="0"/>
    <d v="2014-05-18T00:00:00"/>
    <n v="58"/>
    <n v="4"/>
    <n v="1"/>
    <n v="6"/>
    <n v="4"/>
    <n v="1"/>
    <n v="9"/>
    <n v="1"/>
    <n v="1"/>
    <n v="1"/>
    <n v="2"/>
    <n v="5"/>
    <x v="0"/>
    <x v="0"/>
    <x v="0"/>
    <x v="0"/>
    <x v="0"/>
    <n v="0"/>
    <n v="3"/>
    <n v="11"/>
    <x v="1"/>
  </r>
  <r>
    <n v="178"/>
    <n v="1956"/>
    <x v="0"/>
    <s v="Married"/>
    <n v="62503"/>
    <n v="0"/>
    <n v="1"/>
    <d v="2013-02-18T00:00:00"/>
    <n v="40"/>
    <n v="478"/>
    <n v="0"/>
    <n v="193"/>
    <n v="110"/>
    <n v="75"/>
    <n v="117"/>
    <n v="4"/>
    <n v="8"/>
    <n v="3"/>
    <n v="11"/>
    <n v="5"/>
    <x v="0"/>
    <x v="0"/>
    <x v="0"/>
    <x v="0"/>
    <x v="0"/>
    <n v="0"/>
    <n v="3"/>
    <n v="11"/>
    <x v="1"/>
  </r>
  <r>
    <n v="916"/>
    <n v="1972"/>
    <x v="1"/>
    <s v="Single"/>
    <n v="41644"/>
    <n v="1"/>
    <n v="1"/>
    <d v="2014-05-09T00:00:00"/>
    <n v="67"/>
    <n v="20"/>
    <n v="3"/>
    <n v="4"/>
    <n v="2"/>
    <n v="0"/>
    <n v="2"/>
    <n v="2"/>
    <n v="1"/>
    <n v="0"/>
    <n v="3"/>
    <n v="3"/>
    <x v="0"/>
    <x v="0"/>
    <x v="0"/>
    <x v="0"/>
    <x v="0"/>
    <n v="0"/>
    <n v="3"/>
    <n v="11"/>
    <x v="1"/>
  </r>
  <r>
    <n v="5512"/>
    <n v="1977"/>
    <x v="2"/>
    <s v="Married"/>
    <n v="55842"/>
    <n v="0"/>
    <n v="1"/>
    <d v="2014-05-23T00:00:00"/>
    <n v="19"/>
    <n v="451"/>
    <n v="0"/>
    <n v="39"/>
    <n v="0"/>
    <n v="4"/>
    <n v="24"/>
    <n v="1"/>
    <n v="7"/>
    <n v="1"/>
    <n v="8"/>
    <n v="5"/>
    <x v="0"/>
    <x v="0"/>
    <x v="0"/>
    <x v="0"/>
    <x v="0"/>
    <n v="0"/>
    <n v="3"/>
    <n v="11"/>
    <x v="1"/>
  </r>
  <r>
    <n v="8970"/>
    <n v="1972"/>
    <x v="1"/>
    <s v="Married"/>
    <n v="62010"/>
    <n v="0"/>
    <n v="1"/>
    <d v="2012-10-23T00:00:00"/>
    <n v="93"/>
    <n v="371"/>
    <n v="22"/>
    <n v="39"/>
    <n v="6"/>
    <n v="0"/>
    <n v="92"/>
    <n v="4"/>
    <n v="6"/>
    <n v="2"/>
    <n v="7"/>
    <n v="5"/>
    <x v="0"/>
    <x v="0"/>
    <x v="0"/>
    <x v="0"/>
    <x v="0"/>
    <n v="0"/>
    <n v="3"/>
    <n v="11"/>
    <x v="1"/>
  </r>
  <r>
    <n v="10581"/>
    <n v="1977"/>
    <x v="0"/>
    <s v="Married"/>
    <n v="41124"/>
    <n v="1"/>
    <n v="0"/>
    <d v="2012-10-31T00:00:00"/>
    <n v="41"/>
    <n v="281"/>
    <n v="7"/>
    <n v="84"/>
    <n v="15"/>
    <n v="0"/>
    <n v="119"/>
    <n v="7"/>
    <n v="7"/>
    <n v="3"/>
    <n v="4"/>
    <n v="8"/>
    <x v="0"/>
    <x v="0"/>
    <x v="0"/>
    <x v="0"/>
    <x v="0"/>
    <n v="0"/>
    <n v="3"/>
    <n v="11"/>
    <x v="1"/>
  </r>
  <r>
    <n v="5300"/>
    <n v="1973"/>
    <x v="2"/>
    <s v="Married"/>
    <n v="38961"/>
    <n v="1"/>
    <n v="0"/>
    <d v="2013-12-30T00:00:00"/>
    <n v="60"/>
    <n v="19"/>
    <n v="7"/>
    <n v="19"/>
    <n v="0"/>
    <n v="1"/>
    <n v="24"/>
    <n v="1"/>
    <n v="2"/>
    <n v="1"/>
    <n v="2"/>
    <n v="7"/>
    <x v="0"/>
    <x v="0"/>
    <x v="0"/>
    <x v="0"/>
    <x v="0"/>
    <n v="0"/>
    <n v="3"/>
    <n v="11"/>
    <x v="1"/>
  </r>
  <r>
    <n v="5154"/>
    <n v="1972"/>
    <x v="2"/>
    <s v="Divorced"/>
    <n v="37760"/>
    <n v="1"/>
    <n v="0"/>
    <d v="2013-08-11T00:00:00"/>
    <n v="54"/>
    <n v="26"/>
    <n v="3"/>
    <n v="13"/>
    <n v="2"/>
    <n v="10"/>
    <n v="0"/>
    <n v="1"/>
    <n v="2"/>
    <n v="0"/>
    <n v="3"/>
    <n v="6"/>
    <x v="0"/>
    <x v="0"/>
    <x v="0"/>
    <x v="0"/>
    <x v="0"/>
    <n v="0"/>
    <n v="3"/>
    <n v="11"/>
    <x v="1"/>
  </r>
  <r>
    <n v="8346"/>
    <n v="1974"/>
    <x v="0"/>
    <s v="Single"/>
    <n v="32233"/>
    <n v="1"/>
    <n v="0"/>
    <d v="2012-08-19T00:00:00"/>
    <n v="26"/>
    <n v="138"/>
    <n v="15"/>
    <n v="35"/>
    <n v="25"/>
    <n v="11"/>
    <n v="72"/>
    <n v="2"/>
    <n v="6"/>
    <n v="2"/>
    <n v="2"/>
    <n v="9"/>
    <x v="1"/>
    <x v="0"/>
    <x v="0"/>
    <x v="0"/>
    <x v="0"/>
    <n v="0"/>
    <n v="3"/>
    <n v="11"/>
    <x v="0"/>
  </r>
  <r>
    <n v="1676"/>
    <n v="1975"/>
    <x v="0"/>
    <s v="Married"/>
    <n v="43057"/>
    <n v="0"/>
    <n v="1"/>
    <d v="2013-10-30T00:00:00"/>
    <n v="30"/>
    <n v="213"/>
    <n v="2"/>
    <n v="44"/>
    <n v="0"/>
    <n v="2"/>
    <n v="5"/>
    <n v="4"/>
    <n v="4"/>
    <n v="2"/>
    <n v="5"/>
    <n v="5"/>
    <x v="0"/>
    <x v="0"/>
    <x v="0"/>
    <x v="0"/>
    <x v="0"/>
    <n v="0"/>
    <n v="3"/>
    <n v="11"/>
    <x v="1"/>
  </r>
  <r>
    <n v="9286"/>
    <n v="1960"/>
    <x v="2"/>
    <s v="Together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x v="0"/>
    <x v="0"/>
    <x v="0"/>
    <x v="0"/>
    <x v="0"/>
    <n v="0"/>
    <n v="3"/>
    <n v="11"/>
    <x v="1"/>
  </r>
  <r>
    <n v="2426"/>
    <n v="1964"/>
    <x v="1"/>
    <s v="Divorced"/>
    <n v="78825"/>
    <n v="0"/>
    <n v="0"/>
    <d v="2012-09-14T00:00:00"/>
    <n v="35"/>
    <n v="483"/>
    <n v="74"/>
    <n v="114"/>
    <n v="169"/>
    <n v="37"/>
    <n v="18"/>
    <n v="1"/>
    <n v="5"/>
    <n v="10"/>
    <n v="13"/>
    <n v="3"/>
    <x v="0"/>
    <x v="0"/>
    <x v="0"/>
    <x v="0"/>
    <x v="0"/>
    <n v="0"/>
    <n v="3"/>
    <n v="11"/>
    <x v="0"/>
  </r>
  <r>
    <n v="5172"/>
    <n v="1976"/>
    <x v="2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x v="0"/>
    <x v="0"/>
    <x v="0"/>
    <x v="0"/>
    <x v="0"/>
    <n v="0"/>
    <n v="3"/>
    <n v="11"/>
    <x v="1"/>
  </r>
  <r>
    <n v="5562"/>
    <n v="1974"/>
    <x v="0"/>
    <s v="Married"/>
    <n v="60093"/>
    <n v="0"/>
    <n v="1"/>
    <d v="2013-06-26T00:00:00"/>
    <n v="92"/>
    <n v="502"/>
    <n v="12"/>
    <n v="109"/>
    <n v="16"/>
    <n v="6"/>
    <n v="90"/>
    <n v="2"/>
    <n v="7"/>
    <n v="2"/>
    <n v="10"/>
    <n v="6"/>
    <x v="0"/>
    <x v="0"/>
    <x v="0"/>
    <x v="0"/>
    <x v="0"/>
    <n v="0"/>
    <n v="3"/>
    <n v="11"/>
    <x v="1"/>
  </r>
  <r>
    <n v="3436"/>
    <n v="1969"/>
    <x v="0"/>
    <s v="Married"/>
    <n v="14045"/>
    <n v="1"/>
    <n v="0"/>
    <d v="2014-01-26T00:00:00"/>
    <n v="24"/>
    <n v="11"/>
    <n v="0"/>
    <n v="5"/>
    <n v="2"/>
    <n v="1"/>
    <n v="1"/>
    <n v="1"/>
    <n v="1"/>
    <n v="0"/>
    <n v="3"/>
    <n v="7"/>
    <x v="0"/>
    <x v="0"/>
    <x v="0"/>
    <x v="0"/>
    <x v="0"/>
    <n v="0"/>
    <n v="3"/>
    <n v="11"/>
    <x v="1"/>
  </r>
  <r>
    <n v="3921"/>
    <n v="1952"/>
    <x v="4"/>
    <s v="Widow"/>
    <n v="28457"/>
    <n v="0"/>
    <n v="0"/>
    <d v="2012-10-28T00:00:00"/>
    <n v="96"/>
    <n v="24"/>
    <n v="1"/>
    <n v="108"/>
    <n v="29"/>
    <n v="29"/>
    <n v="14"/>
    <n v="1"/>
    <n v="4"/>
    <n v="1"/>
    <n v="4"/>
    <n v="8"/>
    <x v="0"/>
    <x v="0"/>
    <x v="0"/>
    <x v="0"/>
    <x v="0"/>
    <n v="0"/>
    <n v="3"/>
    <n v="11"/>
    <x v="1"/>
  </r>
  <r>
    <n v="3403"/>
    <n v="1958"/>
    <x v="1"/>
    <s v="Together"/>
    <n v="78952"/>
    <n v="0"/>
    <n v="1"/>
    <d v="2012-09-24T00:00:00"/>
    <n v="11"/>
    <n v="1170"/>
    <n v="19"/>
    <n v="594"/>
    <n v="99"/>
    <n v="76"/>
    <n v="134"/>
    <n v="2"/>
    <n v="2"/>
    <n v="5"/>
    <n v="12"/>
    <n v="6"/>
    <x v="0"/>
    <x v="0"/>
    <x v="0"/>
    <x v="0"/>
    <x v="0"/>
    <n v="0"/>
    <n v="3"/>
    <n v="11"/>
    <x v="1"/>
  </r>
  <r>
    <n v="22"/>
    <n v="1976"/>
    <x v="0"/>
    <s v="Divorced"/>
    <n v="46310"/>
    <n v="1"/>
    <n v="0"/>
    <d v="2012-12-03T00:00:00"/>
    <n v="99"/>
    <n v="185"/>
    <n v="2"/>
    <n v="88"/>
    <n v="15"/>
    <n v="5"/>
    <n v="14"/>
    <n v="2"/>
    <n v="6"/>
    <n v="1"/>
    <n v="5"/>
    <n v="8"/>
    <x v="0"/>
    <x v="0"/>
    <x v="0"/>
    <x v="0"/>
    <x v="0"/>
    <n v="0"/>
    <n v="3"/>
    <n v="11"/>
    <x v="1"/>
  </r>
  <r>
    <n v="10965"/>
    <n v="1955"/>
    <x v="0"/>
    <s v="Together"/>
    <n v="76005"/>
    <n v="0"/>
    <n v="0"/>
    <d v="2013-02-22T00:00:00"/>
    <n v="72"/>
    <n v="983"/>
    <n v="20"/>
    <n v="389"/>
    <n v="240"/>
    <n v="50"/>
    <n v="40"/>
    <n v="1"/>
    <n v="3"/>
    <n v="5"/>
    <n v="13"/>
    <n v="6"/>
    <x v="0"/>
    <x v="0"/>
    <x v="0"/>
    <x v="1"/>
    <x v="0"/>
    <n v="0"/>
    <n v="3"/>
    <n v="11"/>
    <x v="1"/>
  </r>
  <r>
    <n v="9426"/>
    <n v="1964"/>
    <x v="2"/>
    <s v="Single"/>
    <n v="58308"/>
    <n v="0"/>
    <n v="1"/>
    <d v="2013-01-12T00:00:00"/>
    <n v="77"/>
    <n v="691"/>
    <n v="0"/>
    <n v="69"/>
    <n v="10"/>
    <n v="0"/>
    <n v="130"/>
    <n v="4"/>
    <n v="2"/>
    <n v="6"/>
    <n v="3"/>
    <n v="8"/>
    <x v="0"/>
    <x v="0"/>
    <x v="0"/>
    <x v="0"/>
    <x v="0"/>
    <n v="0"/>
    <n v="3"/>
    <n v="11"/>
    <x v="1"/>
  </r>
  <r>
    <n v="6605"/>
    <n v="1944"/>
    <x v="1"/>
    <s v="Divorced"/>
    <n v="55614"/>
    <n v="0"/>
    <n v="0"/>
    <d v="2013-11-27T00:00:00"/>
    <n v="85"/>
    <n v="504"/>
    <n v="13"/>
    <n v="131"/>
    <n v="8"/>
    <n v="0"/>
    <n v="26"/>
    <n v="1"/>
    <n v="9"/>
    <n v="4"/>
    <n v="6"/>
    <n v="7"/>
    <x v="0"/>
    <x v="1"/>
    <x v="0"/>
    <x v="0"/>
    <x v="0"/>
    <n v="0"/>
    <n v="3"/>
    <n v="11"/>
    <x v="1"/>
  </r>
  <r>
    <n v="3136"/>
    <n v="1962"/>
    <x v="2"/>
    <s v="Divorced"/>
    <n v="59432"/>
    <n v="0"/>
    <n v="1"/>
    <d v="2013-04-13T00:00:00"/>
    <n v="88"/>
    <n v="317"/>
    <n v="25"/>
    <n v="265"/>
    <n v="25"/>
    <n v="19"/>
    <n v="12"/>
    <n v="3"/>
    <n v="5"/>
    <n v="3"/>
    <n v="11"/>
    <n v="5"/>
    <x v="0"/>
    <x v="0"/>
    <x v="0"/>
    <x v="0"/>
    <x v="0"/>
    <n v="0"/>
    <n v="3"/>
    <n v="11"/>
    <x v="1"/>
  </r>
  <r>
    <n v="8737"/>
    <n v="1978"/>
    <x v="0"/>
    <s v="Divorced"/>
    <n v="55563"/>
    <n v="0"/>
    <n v="1"/>
    <d v="2014-04-05T00:00:00"/>
    <n v="22"/>
    <n v="29"/>
    <n v="1"/>
    <n v="9"/>
    <n v="2"/>
    <n v="0"/>
    <n v="2"/>
    <n v="1"/>
    <n v="2"/>
    <n v="0"/>
    <n v="3"/>
    <n v="3"/>
    <x v="0"/>
    <x v="0"/>
    <x v="0"/>
    <x v="0"/>
    <x v="0"/>
    <n v="0"/>
    <n v="3"/>
    <n v="11"/>
    <x v="1"/>
  </r>
  <r>
    <n v="11088"/>
    <n v="1971"/>
    <x v="1"/>
    <s v="Together"/>
    <n v="78642"/>
    <n v="0"/>
    <n v="1"/>
    <d v="2013-04-21T00:00:00"/>
    <n v="83"/>
    <n v="1396"/>
    <n v="0"/>
    <n v="322"/>
    <n v="46"/>
    <n v="35"/>
    <n v="17"/>
    <n v="1"/>
    <n v="4"/>
    <n v="9"/>
    <n v="4"/>
    <n v="6"/>
    <x v="0"/>
    <x v="0"/>
    <x v="0"/>
    <x v="0"/>
    <x v="0"/>
    <n v="0"/>
    <n v="3"/>
    <n v="11"/>
    <x v="1"/>
  </r>
  <r>
    <n v="716"/>
    <n v="1949"/>
    <x v="1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x v="0"/>
    <x v="0"/>
    <x v="0"/>
    <x v="0"/>
    <x v="0"/>
    <n v="0"/>
    <n v="3"/>
    <n v="11"/>
    <x v="1"/>
  </r>
  <r>
    <n v="466"/>
    <n v="1944"/>
    <x v="0"/>
    <s v="Married"/>
    <n v="65275"/>
    <n v="0"/>
    <n v="0"/>
    <d v="2013-04-03T00:00:00"/>
    <n v="9"/>
    <n v="388"/>
    <n v="14"/>
    <n v="218"/>
    <n v="91"/>
    <n v="14"/>
    <n v="21"/>
    <n v="1"/>
    <n v="4"/>
    <n v="3"/>
    <n v="13"/>
    <n v="2"/>
    <x v="0"/>
    <x v="0"/>
    <x v="0"/>
    <x v="0"/>
    <x v="0"/>
    <n v="0"/>
    <n v="3"/>
    <n v="11"/>
    <x v="1"/>
  </r>
  <r>
    <n v="9135"/>
    <n v="1950"/>
    <x v="0"/>
    <s v="Together"/>
    <n v="27203"/>
    <n v="1"/>
    <n v="1"/>
    <d v="2012-08-06T00:00:00"/>
    <n v="92"/>
    <n v="13"/>
    <n v="2"/>
    <n v="21"/>
    <n v="4"/>
    <n v="0"/>
    <n v="24"/>
    <n v="2"/>
    <n v="1"/>
    <n v="1"/>
    <n v="2"/>
    <n v="8"/>
    <x v="0"/>
    <x v="0"/>
    <x v="0"/>
    <x v="0"/>
    <x v="0"/>
    <n v="0"/>
    <n v="3"/>
    <n v="11"/>
    <x v="1"/>
  </r>
  <r>
    <n v="10623"/>
    <n v="1961"/>
    <x v="2"/>
    <s v="Together"/>
    <n v="48330"/>
    <n v="0"/>
    <n v="1"/>
    <d v="2013-11-15T00:00:00"/>
    <n v="2"/>
    <n v="28"/>
    <n v="0"/>
    <n v="4"/>
    <n v="0"/>
    <n v="0"/>
    <n v="0"/>
    <n v="1"/>
    <n v="1"/>
    <n v="0"/>
    <n v="3"/>
    <n v="5"/>
    <x v="0"/>
    <x v="0"/>
    <x v="0"/>
    <x v="0"/>
    <x v="0"/>
    <n v="0"/>
    <n v="3"/>
    <n v="11"/>
    <x v="1"/>
  </r>
  <r>
    <n v="8151"/>
    <n v="1990"/>
    <x v="3"/>
    <s v="Married"/>
    <n v="24279"/>
    <n v="0"/>
    <n v="0"/>
    <d v="2012-12-29T00:00:00"/>
    <n v="6"/>
    <n v="16"/>
    <n v="36"/>
    <n v="21"/>
    <n v="20"/>
    <n v="62"/>
    <n v="108"/>
    <n v="1"/>
    <n v="4"/>
    <n v="1"/>
    <n v="3"/>
    <n v="8"/>
    <x v="0"/>
    <x v="0"/>
    <x v="0"/>
    <x v="0"/>
    <x v="0"/>
    <n v="0"/>
    <n v="3"/>
    <n v="11"/>
    <x v="1"/>
  </r>
  <r>
    <n v="5140"/>
    <n v="1985"/>
    <x v="1"/>
    <s v="Married"/>
    <n v="64355"/>
    <n v="1"/>
    <n v="0"/>
    <d v="2012-08-24T00:00:00"/>
    <n v="66"/>
    <n v="1047"/>
    <n v="0"/>
    <n v="140"/>
    <n v="67"/>
    <n v="38"/>
    <n v="153"/>
    <n v="2"/>
    <n v="4"/>
    <n v="3"/>
    <n v="12"/>
    <n v="8"/>
    <x v="0"/>
    <x v="0"/>
    <x v="0"/>
    <x v="0"/>
    <x v="0"/>
    <n v="0"/>
    <n v="3"/>
    <n v="11"/>
    <x v="1"/>
  </r>
  <r>
    <n v="10160"/>
    <n v="1956"/>
    <x v="2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x v="0"/>
    <x v="0"/>
    <x v="0"/>
    <x v="0"/>
    <x v="0"/>
    <n v="0"/>
    <n v="3"/>
    <n v="11"/>
    <x v="1"/>
  </r>
  <r>
    <n v="4945"/>
    <n v="1953"/>
    <x v="0"/>
    <s v="Widow"/>
    <n v="53653"/>
    <n v="0"/>
    <n v="0"/>
    <d v="2012-11-07T00:00:00"/>
    <n v="29"/>
    <n v="815"/>
    <n v="10"/>
    <n v="239"/>
    <n v="28"/>
    <n v="10"/>
    <n v="108"/>
    <n v="2"/>
    <n v="10"/>
    <n v="4"/>
    <n v="12"/>
    <n v="6"/>
    <x v="0"/>
    <x v="0"/>
    <x v="0"/>
    <x v="0"/>
    <x v="0"/>
    <n v="0"/>
    <n v="3"/>
    <n v="11"/>
    <x v="1"/>
  </r>
  <r>
    <n v="10584"/>
    <n v="1976"/>
    <x v="0"/>
    <s v="Married"/>
    <n v="65665"/>
    <n v="0"/>
    <n v="1"/>
    <d v="2013-12-02T00:00:00"/>
    <n v="77"/>
    <n v="225"/>
    <n v="162"/>
    <n v="387"/>
    <n v="106"/>
    <n v="36"/>
    <n v="29"/>
    <n v="1"/>
    <n v="5"/>
    <n v="10"/>
    <n v="8"/>
    <n v="3"/>
    <x v="0"/>
    <x v="0"/>
    <x v="0"/>
    <x v="0"/>
    <x v="0"/>
    <n v="0"/>
    <n v="3"/>
    <n v="11"/>
    <x v="1"/>
  </r>
  <r>
    <n v="6071"/>
    <n v="1989"/>
    <x v="0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x v="0"/>
    <x v="0"/>
    <x v="0"/>
    <x v="0"/>
    <x v="0"/>
    <n v="0"/>
    <n v="3"/>
    <n v="11"/>
    <x v="1"/>
  </r>
  <r>
    <n v="3386"/>
    <n v="1992"/>
    <x v="0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x v="0"/>
    <x v="0"/>
    <x v="0"/>
    <x v="0"/>
    <x v="0"/>
    <n v="0"/>
    <n v="3"/>
    <n v="11"/>
    <x v="1"/>
  </r>
  <r>
    <n v="8939"/>
    <n v="1959"/>
    <x v="0"/>
    <s v="Divorced"/>
    <n v="61250"/>
    <n v="0"/>
    <n v="1"/>
    <d v="2012-12-16T00:00:00"/>
    <n v="49"/>
    <n v="382"/>
    <n v="138"/>
    <n v="65"/>
    <n v="60"/>
    <n v="26"/>
    <n v="59"/>
    <n v="6"/>
    <n v="5"/>
    <n v="2"/>
    <n v="12"/>
    <n v="5"/>
    <x v="0"/>
    <x v="0"/>
    <x v="0"/>
    <x v="0"/>
    <x v="0"/>
    <n v="0"/>
    <n v="3"/>
    <n v="11"/>
    <x v="1"/>
  </r>
  <r>
    <n v="9925"/>
    <n v="1981"/>
    <x v="1"/>
    <s v="Together"/>
    <n v="39665"/>
    <n v="1"/>
    <n v="0"/>
    <d v="2013-05-25T00:00:00"/>
    <n v="97"/>
    <n v="127"/>
    <n v="1"/>
    <n v="56"/>
    <n v="0"/>
    <n v="1"/>
    <n v="31"/>
    <n v="3"/>
    <n v="4"/>
    <n v="2"/>
    <n v="3"/>
    <n v="7"/>
    <x v="1"/>
    <x v="0"/>
    <x v="0"/>
    <x v="0"/>
    <x v="0"/>
    <n v="0"/>
    <n v="3"/>
    <n v="11"/>
    <x v="1"/>
  </r>
  <r>
    <n v="4320"/>
    <n v="1979"/>
    <x v="0"/>
    <s v="Single"/>
    <n v="60152"/>
    <n v="0"/>
    <n v="1"/>
    <d v="2013-03-28T00:00:00"/>
    <n v="6"/>
    <n v="325"/>
    <n v="83"/>
    <n v="300"/>
    <n v="86"/>
    <n v="58"/>
    <n v="91"/>
    <n v="1"/>
    <n v="6"/>
    <n v="4"/>
    <n v="12"/>
    <n v="3"/>
    <x v="0"/>
    <x v="0"/>
    <x v="0"/>
    <x v="0"/>
    <x v="0"/>
    <n v="0"/>
    <n v="3"/>
    <n v="11"/>
    <x v="1"/>
  </r>
  <r>
    <n v="5389"/>
    <n v="1964"/>
    <x v="0"/>
    <s v="Married"/>
    <n v="48920"/>
    <n v="0"/>
    <n v="2"/>
    <d v="2013-10-20T00:00:00"/>
    <n v="93"/>
    <n v="238"/>
    <n v="17"/>
    <n v="68"/>
    <n v="8"/>
    <n v="10"/>
    <n v="6"/>
    <n v="3"/>
    <n v="6"/>
    <n v="2"/>
    <n v="5"/>
    <n v="7"/>
    <x v="0"/>
    <x v="1"/>
    <x v="0"/>
    <x v="0"/>
    <x v="0"/>
    <n v="0"/>
    <n v="3"/>
    <n v="11"/>
    <x v="1"/>
  </r>
  <r>
    <n v="6036"/>
    <n v="1959"/>
    <x v="2"/>
    <s v="Together"/>
    <n v="89120"/>
    <n v="0"/>
    <n v="0"/>
    <d v="2014-03-17T00:00:00"/>
    <n v="78"/>
    <n v="1168"/>
    <n v="92"/>
    <n v="408"/>
    <n v="72"/>
    <n v="129"/>
    <n v="55"/>
    <n v="1"/>
    <n v="5"/>
    <n v="6"/>
    <n v="7"/>
    <n v="1"/>
    <x v="0"/>
    <x v="0"/>
    <x v="1"/>
    <x v="0"/>
    <x v="0"/>
    <n v="0"/>
    <n v="3"/>
    <n v="11"/>
    <x v="1"/>
  </r>
  <r>
    <n v="182"/>
    <n v="1946"/>
    <x v="1"/>
    <s v="Together"/>
    <n v="44124"/>
    <n v="0"/>
    <n v="1"/>
    <d v="2013-05-11T00:00:00"/>
    <n v="62"/>
    <n v="284"/>
    <n v="0"/>
    <n v="55"/>
    <n v="0"/>
    <n v="6"/>
    <n v="52"/>
    <n v="4"/>
    <n v="6"/>
    <n v="2"/>
    <n v="5"/>
    <n v="8"/>
    <x v="0"/>
    <x v="0"/>
    <x v="0"/>
    <x v="0"/>
    <x v="0"/>
    <n v="0"/>
    <n v="3"/>
    <n v="11"/>
    <x v="1"/>
  </r>
  <r>
    <n v="203"/>
    <n v="1975"/>
    <x v="2"/>
    <s v="Single"/>
    <n v="81169"/>
    <n v="0"/>
    <n v="0"/>
    <d v="2013-04-14T00:00:00"/>
    <n v="47"/>
    <n v="1288"/>
    <n v="20"/>
    <n v="613"/>
    <n v="80"/>
    <n v="61"/>
    <n v="27"/>
    <n v="1"/>
    <n v="5"/>
    <n v="7"/>
    <n v="9"/>
    <n v="2"/>
    <x v="0"/>
    <x v="0"/>
    <x v="0"/>
    <x v="0"/>
    <x v="0"/>
    <n v="0"/>
    <n v="3"/>
    <n v="11"/>
    <x v="1"/>
  </r>
  <r>
    <n v="11025"/>
    <n v="1961"/>
    <x v="0"/>
    <s v="Married"/>
    <n v="36443"/>
    <n v="1"/>
    <n v="1"/>
    <d v="2013-02-03T00:00:00"/>
    <n v="9"/>
    <n v="65"/>
    <n v="0"/>
    <n v="46"/>
    <n v="4"/>
    <n v="3"/>
    <n v="20"/>
    <n v="4"/>
    <n v="3"/>
    <n v="1"/>
    <n v="3"/>
    <n v="8"/>
    <x v="0"/>
    <x v="0"/>
    <x v="0"/>
    <x v="0"/>
    <x v="0"/>
    <n v="0"/>
    <n v="3"/>
    <n v="11"/>
    <x v="1"/>
  </r>
  <r>
    <n v="10203"/>
    <n v="1990"/>
    <x v="0"/>
    <s v="Single"/>
    <n v="26095"/>
    <n v="1"/>
    <n v="0"/>
    <d v="2013-06-30T00:00:00"/>
    <n v="77"/>
    <n v="11"/>
    <n v="7"/>
    <n v="9"/>
    <n v="3"/>
    <n v="1"/>
    <n v="11"/>
    <n v="1"/>
    <n v="1"/>
    <n v="0"/>
    <n v="3"/>
    <n v="7"/>
    <x v="0"/>
    <x v="0"/>
    <x v="0"/>
    <x v="0"/>
    <x v="0"/>
    <n v="0"/>
    <n v="3"/>
    <n v="11"/>
    <x v="1"/>
  </r>
  <r>
    <n v="4607"/>
    <n v="1959"/>
    <x v="0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x v="0"/>
    <x v="0"/>
    <x v="0"/>
    <x v="0"/>
    <x v="0"/>
    <n v="0"/>
    <n v="3"/>
    <n v="11"/>
    <x v="1"/>
  </r>
  <r>
    <n v="3711"/>
    <n v="1944"/>
    <x v="2"/>
    <s v="Married"/>
    <n v="80184"/>
    <n v="0"/>
    <n v="0"/>
    <d v="2014-03-01T00:00:00"/>
    <n v="19"/>
    <n v="1035"/>
    <n v="134"/>
    <n v="670"/>
    <n v="25"/>
    <n v="38"/>
    <n v="0"/>
    <n v="1"/>
    <n v="6"/>
    <n v="3"/>
    <n v="10"/>
    <n v="3"/>
    <x v="0"/>
    <x v="0"/>
    <x v="1"/>
    <x v="1"/>
    <x v="0"/>
    <n v="0"/>
    <n v="3"/>
    <n v="11"/>
    <x v="1"/>
  </r>
  <r>
    <n v="3696"/>
    <n v="1965"/>
    <x v="0"/>
    <s v="Divorced"/>
    <n v="30630"/>
    <n v="1"/>
    <n v="1"/>
    <d v="2014-01-27T00:00:00"/>
    <n v="67"/>
    <n v="27"/>
    <n v="1"/>
    <n v="12"/>
    <n v="2"/>
    <n v="0"/>
    <n v="10"/>
    <n v="2"/>
    <n v="2"/>
    <n v="0"/>
    <n v="3"/>
    <n v="7"/>
    <x v="0"/>
    <x v="0"/>
    <x v="0"/>
    <x v="0"/>
    <x v="0"/>
    <n v="0"/>
    <n v="3"/>
    <n v="11"/>
    <x v="1"/>
  </r>
  <r>
    <n v="2532"/>
    <n v="1987"/>
    <x v="2"/>
    <s v="Single"/>
    <n v="73454"/>
    <n v="0"/>
    <n v="0"/>
    <d v="2014-03-01T00:00:00"/>
    <n v="95"/>
    <n v="982"/>
    <n v="73"/>
    <n v="351"/>
    <n v="56"/>
    <n v="14"/>
    <n v="175"/>
    <n v="1"/>
    <n v="2"/>
    <n v="4"/>
    <n v="6"/>
    <n v="5"/>
    <x v="1"/>
    <x v="0"/>
    <x v="0"/>
    <x v="0"/>
    <x v="0"/>
    <n v="0"/>
    <n v="3"/>
    <n v="11"/>
    <x v="1"/>
  </r>
  <r>
    <n v="9214"/>
    <n v="1991"/>
    <x v="0"/>
    <s v="Married"/>
    <n v="42691"/>
    <n v="0"/>
    <n v="0"/>
    <d v="2013-08-16T00:00:00"/>
    <n v="48"/>
    <n v="179"/>
    <n v="2"/>
    <n v="64"/>
    <n v="38"/>
    <n v="17"/>
    <n v="58"/>
    <n v="1"/>
    <n v="5"/>
    <n v="1"/>
    <n v="6"/>
    <n v="5"/>
    <x v="0"/>
    <x v="0"/>
    <x v="0"/>
    <x v="0"/>
    <x v="0"/>
    <n v="0"/>
    <n v="3"/>
    <n v="11"/>
    <x v="1"/>
  </r>
  <r>
    <n v="4943"/>
    <n v="1953"/>
    <x v="0"/>
    <s v="Married"/>
    <n v="70503"/>
    <n v="0"/>
    <n v="0"/>
    <d v="2012-09-30T00:00:00"/>
    <n v="73"/>
    <n v="1379"/>
    <n v="33"/>
    <n v="216"/>
    <n v="0"/>
    <n v="33"/>
    <n v="66"/>
    <n v="1"/>
    <n v="2"/>
    <n v="4"/>
    <n v="9"/>
    <n v="6"/>
    <x v="0"/>
    <x v="1"/>
    <x v="1"/>
    <x v="0"/>
    <x v="0"/>
    <n v="0"/>
    <n v="3"/>
    <n v="11"/>
    <x v="1"/>
  </r>
  <r>
    <n v="35"/>
    <n v="1987"/>
    <x v="0"/>
    <s v="Married"/>
    <n v="25545"/>
    <n v="1"/>
    <n v="0"/>
    <d v="2012-09-08T00:00:00"/>
    <n v="35"/>
    <n v="32"/>
    <n v="1"/>
    <n v="64"/>
    <n v="16"/>
    <n v="12"/>
    <n v="85"/>
    <n v="3"/>
    <n v="2"/>
    <n v="2"/>
    <n v="3"/>
    <n v="6"/>
    <x v="0"/>
    <x v="0"/>
    <x v="0"/>
    <x v="0"/>
    <x v="0"/>
    <n v="0"/>
    <n v="3"/>
    <n v="11"/>
    <x v="0"/>
  </r>
  <r>
    <n v="2258"/>
    <n v="1986"/>
    <x v="0"/>
    <s v="Married"/>
    <n v="32880"/>
    <n v="1"/>
    <n v="0"/>
    <d v="2012-12-04T00:00:00"/>
    <n v="76"/>
    <n v="8"/>
    <n v="4"/>
    <n v="15"/>
    <n v="7"/>
    <n v="6"/>
    <n v="2"/>
    <n v="1"/>
    <n v="1"/>
    <n v="0"/>
    <n v="3"/>
    <n v="8"/>
    <x v="0"/>
    <x v="0"/>
    <x v="0"/>
    <x v="0"/>
    <x v="0"/>
    <n v="0"/>
    <n v="3"/>
    <n v="11"/>
    <x v="1"/>
  </r>
  <r>
    <n v="4322"/>
    <n v="1958"/>
    <x v="1"/>
    <s v="Together"/>
    <n v="77863"/>
    <n v="0"/>
    <n v="0"/>
    <d v="2013-11-27T00:00:00"/>
    <n v="20"/>
    <n v="881"/>
    <n v="38"/>
    <n v="319"/>
    <n v="16"/>
    <n v="25"/>
    <n v="12"/>
    <n v="1"/>
    <n v="4"/>
    <n v="5"/>
    <n v="10"/>
    <n v="2"/>
    <x v="0"/>
    <x v="0"/>
    <x v="0"/>
    <x v="0"/>
    <x v="0"/>
    <n v="0"/>
    <n v="3"/>
    <n v="11"/>
    <x v="1"/>
  </r>
  <r>
    <n v="713"/>
    <n v="1977"/>
    <x v="2"/>
    <s v="Married"/>
    <n v="50353"/>
    <n v="0"/>
    <n v="0"/>
    <d v="2014-06-08T00:00:00"/>
    <n v="72"/>
    <n v="141"/>
    <n v="15"/>
    <n v="153"/>
    <n v="67"/>
    <n v="31"/>
    <n v="35"/>
    <n v="1"/>
    <n v="4"/>
    <n v="4"/>
    <n v="6"/>
    <n v="3"/>
    <x v="0"/>
    <x v="0"/>
    <x v="0"/>
    <x v="0"/>
    <x v="0"/>
    <n v="0"/>
    <n v="3"/>
    <n v="11"/>
    <x v="1"/>
  </r>
  <r>
    <n v="4702"/>
    <n v="1964"/>
    <x v="0"/>
    <s v="Single"/>
    <n v="61839"/>
    <n v="0"/>
    <n v="0"/>
    <d v="2012-08-12T00:00:00"/>
    <n v="20"/>
    <n v="1000"/>
    <n v="155"/>
    <n v="379"/>
    <n v="224"/>
    <n v="17"/>
    <n v="120"/>
    <n v="1"/>
    <n v="4"/>
    <n v="8"/>
    <n v="4"/>
    <n v="8"/>
    <x v="0"/>
    <x v="0"/>
    <x v="0"/>
    <x v="0"/>
    <x v="0"/>
    <n v="0"/>
    <n v="3"/>
    <n v="11"/>
    <x v="1"/>
  </r>
  <r>
    <n v="3281"/>
    <n v="1960"/>
    <x v="1"/>
    <s v="Married"/>
    <n v="49154"/>
    <n v="1"/>
    <n v="1"/>
    <d v="2013-11-03T00:00:00"/>
    <n v="69"/>
    <n v="206"/>
    <n v="10"/>
    <n v="67"/>
    <n v="30"/>
    <n v="27"/>
    <n v="71"/>
    <n v="6"/>
    <n v="4"/>
    <n v="1"/>
    <n v="8"/>
    <n v="6"/>
    <x v="0"/>
    <x v="0"/>
    <x v="0"/>
    <x v="0"/>
    <x v="0"/>
    <n v="0"/>
    <n v="3"/>
    <n v="11"/>
    <x v="1"/>
  </r>
  <r>
    <n v="702"/>
    <n v="1975"/>
    <x v="4"/>
    <s v="Widow"/>
    <n v="47682"/>
    <n v="0"/>
    <n v="1"/>
    <d v="2013-02-15T00:00:00"/>
    <n v="80"/>
    <n v="162"/>
    <n v="61"/>
    <n v="83"/>
    <n v="97"/>
    <n v="57"/>
    <n v="61"/>
    <n v="4"/>
    <n v="4"/>
    <n v="3"/>
    <n v="8"/>
    <n v="5"/>
    <x v="0"/>
    <x v="0"/>
    <x v="0"/>
    <x v="0"/>
    <x v="0"/>
    <n v="0"/>
    <n v="3"/>
    <n v="11"/>
    <x v="1"/>
  </r>
  <r>
    <n v="2004"/>
    <n v="1969"/>
    <x v="0"/>
    <s v="Single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x v="0"/>
    <x v="0"/>
    <x v="0"/>
    <x v="0"/>
    <x v="0"/>
    <n v="0"/>
    <n v="3"/>
    <n v="11"/>
    <x v="1"/>
  </r>
  <r>
    <n v="4769"/>
    <n v="1977"/>
    <x v="2"/>
    <s v="Together"/>
    <n v="57954"/>
    <n v="1"/>
    <n v="1"/>
    <d v="2014-06-18T00:00:00"/>
    <n v="52"/>
    <n v="456"/>
    <n v="4"/>
    <n v="24"/>
    <n v="0"/>
    <n v="0"/>
    <n v="9"/>
    <n v="7"/>
    <n v="8"/>
    <n v="2"/>
    <n v="6"/>
    <n v="7"/>
    <x v="0"/>
    <x v="1"/>
    <x v="0"/>
    <x v="0"/>
    <x v="0"/>
    <n v="0"/>
    <n v="3"/>
    <n v="11"/>
    <x v="1"/>
  </r>
  <r>
    <n v="4437"/>
    <n v="1962"/>
    <x v="0"/>
    <s v="Married"/>
    <n v="65316"/>
    <n v="1"/>
    <n v="1"/>
    <d v="2013-04-24T00:00:00"/>
    <n v="65"/>
    <n v="112"/>
    <n v="6"/>
    <n v="92"/>
    <n v="3"/>
    <n v="9"/>
    <n v="38"/>
    <n v="2"/>
    <n v="3"/>
    <n v="2"/>
    <n v="5"/>
    <n v="4"/>
    <x v="0"/>
    <x v="0"/>
    <x v="0"/>
    <x v="0"/>
    <x v="0"/>
    <n v="0"/>
    <n v="3"/>
    <n v="11"/>
    <x v="1"/>
  </r>
  <r>
    <n v="8724"/>
    <n v="1982"/>
    <x v="0"/>
    <s v="Single"/>
    <n v="28567"/>
    <n v="1"/>
    <n v="0"/>
    <d v="2013-06-17T00:00:00"/>
    <n v="57"/>
    <n v="11"/>
    <n v="3"/>
    <n v="22"/>
    <n v="2"/>
    <n v="2"/>
    <n v="6"/>
    <n v="2"/>
    <n v="2"/>
    <n v="0"/>
    <n v="3"/>
    <n v="6"/>
    <x v="0"/>
    <x v="0"/>
    <x v="0"/>
    <x v="0"/>
    <x v="0"/>
    <n v="0"/>
    <n v="3"/>
    <n v="11"/>
    <x v="1"/>
  </r>
  <r>
    <n v="10741"/>
    <n v="1951"/>
    <x v="2"/>
    <s v="Together"/>
    <n v="47352"/>
    <n v="0"/>
    <n v="1"/>
    <d v="2013-04-11T00:00:00"/>
    <n v="70"/>
    <n v="172"/>
    <n v="12"/>
    <n v="112"/>
    <n v="8"/>
    <n v="0"/>
    <n v="15"/>
    <n v="4"/>
    <n v="6"/>
    <n v="1"/>
    <n v="5"/>
    <n v="7"/>
    <x v="0"/>
    <x v="0"/>
    <x v="0"/>
    <x v="0"/>
    <x v="0"/>
    <n v="0"/>
    <n v="3"/>
    <n v="11"/>
    <x v="1"/>
  </r>
  <r>
    <n v="1991"/>
    <n v="1967"/>
    <x v="0"/>
    <s v="Together"/>
    <n v="44931"/>
    <n v="0"/>
    <n v="1"/>
    <d v="2014-01-18T00:00:00"/>
    <n v="0"/>
    <n v="78"/>
    <n v="0"/>
    <n v="11"/>
    <n v="0"/>
    <n v="0"/>
    <n v="7"/>
    <n v="1"/>
    <n v="2"/>
    <n v="1"/>
    <n v="3"/>
    <n v="5"/>
    <x v="0"/>
    <x v="0"/>
    <x v="0"/>
    <x v="0"/>
    <x v="0"/>
    <n v="0"/>
    <n v="3"/>
    <n v="11"/>
    <x v="1"/>
  </r>
  <r>
    <n v="6931"/>
    <n v="1967"/>
    <x v="0"/>
    <s v="Divorced"/>
    <n v="76982"/>
    <n v="0"/>
    <n v="0"/>
    <d v="2014-02-15T00:00:00"/>
    <n v="19"/>
    <n v="464"/>
    <n v="151"/>
    <n v="292"/>
    <n v="65"/>
    <n v="60"/>
    <n v="30"/>
    <n v="1"/>
    <n v="8"/>
    <n v="3"/>
    <n v="4"/>
    <n v="4"/>
    <x v="0"/>
    <x v="0"/>
    <x v="1"/>
    <x v="0"/>
    <x v="0"/>
    <n v="0"/>
    <n v="3"/>
    <n v="11"/>
    <x v="0"/>
  </r>
  <r>
    <n v="11096"/>
    <n v="1952"/>
    <x v="4"/>
    <s v="Together"/>
    <n v="57247"/>
    <n v="0"/>
    <n v="1"/>
    <d v="2013-08-08T00:00:00"/>
    <n v="50"/>
    <n v="99"/>
    <n v="4"/>
    <n v="32"/>
    <n v="37"/>
    <n v="54"/>
    <n v="6"/>
    <n v="2"/>
    <n v="2"/>
    <n v="1"/>
    <n v="7"/>
    <n v="2"/>
    <x v="0"/>
    <x v="0"/>
    <x v="0"/>
    <x v="0"/>
    <x v="0"/>
    <n v="0"/>
    <n v="3"/>
    <n v="11"/>
    <x v="1"/>
  </r>
  <r>
    <n v="304"/>
    <n v="1981"/>
    <x v="2"/>
    <s v="Single"/>
    <n v="22944"/>
    <n v="1"/>
    <n v="0"/>
    <d v="2013-12-23T00:00:00"/>
    <n v="67"/>
    <n v="19"/>
    <n v="3"/>
    <n v="19"/>
    <n v="4"/>
    <n v="5"/>
    <n v="26"/>
    <n v="3"/>
    <n v="3"/>
    <n v="0"/>
    <n v="3"/>
    <n v="7"/>
    <x v="0"/>
    <x v="0"/>
    <x v="0"/>
    <x v="0"/>
    <x v="0"/>
    <n v="0"/>
    <n v="3"/>
    <n v="11"/>
    <x v="1"/>
  </r>
  <r>
    <n v="3665"/>
    <n v="1977"/>
    <x v="4"/>
    <s v="Together"/>
    <n v="25315"/>
    <n v="1"/>
    <n v="0"/>
    <d v="2013-11-07T00:00:00"/>
    <n v="46"/>
    <n v="1"/>
    <n v="9"/>
    <n v="8"/>
    <n v="11"/>
    <n v="3"/>
    <n v="22"/>
    <n v="3"/>
    <n v="3"/>
    <n v="0"/>
    <n v="3"/>
    <n v="8"/>
    <x v="0"/>
    <x v="0"/>
    <x v="0"/>
    <x v="0"/>
    <x v="0"/>
    <n v="0"/>
    <n v="3"/>
    <n v="11"/>
    <x v="1"/>
  </r>
  <r>
    <n v="10591"/>
    <n v="1969"/>
    <x v="0"/>
    <s v="Widow"/>
    <n v="43638"/>
    <n v="0"/>
    <n v="1"/>
    <d v="2012-08-06T00:00:00"/>
    <n v="37"/>
    <n v="63"/>
    <n v="10"/>
    <n v="83"/>
    <n v="7"/>
    <n v="19"/>
    <n v="19"/>
    <n v="2"/>
    <n v="4"/>
    <n v="1"/>
    <n v="4"/>
    <n v="7"/>
    <x v="0"/>
    <x v="0"/>
    <x v="0"/>
    <x v="0"/>
    <x v="0"/>
    <n v="0"/>
    <n v="3"/>
    <n v="11"/>
    <x v="1"/>
  </r>
  <r>
    <n v="5036"/>
    <n v="1984"/>
    <x v="1"/>
    <s v="Single"/>
    <n v="42710"/>
    <n v="1"/>
    <n v="0"/>
    <d v="2012-11-28T00:00:00"/>
    <n v="38"/>
    <n v="252"/>
    <n v="3"/>
    <n v="42"/>
    <n v="4"/>
    <n v="3"/>
    <n v="102"/>
    <n v="2"/>
    <n v="4"/>
    <n v="5"/>
    <n v="3"/>
    <n v="6"/>
    <x v="0"/>
    <x v="0"/>
    <x v="0"/>
    <x v="0"/>
    <x v="0"/>
    <n v="0"/>
    <n v="3"/>
    <n v="11"/>
    <x v="1"/>
  </r>
  <r>
    <n v="5547"/>
    <n v="1982"/>
    <x v="1"/>
    <s v="Married"/>
    <n v="84169"/>
    <n v="0"/>
    <n v="0"/>
    <d v="2013-08-07T00:00:00"/>
    <n v="9"/>
    <n v="1478"/>
    <n v="19"/>
    <n v="403"/>
    <n v="0"/>
    <n v="19"/>
    <n v="0"/>
    <n v="1"/>
    <n v="7"/>
    <n v="6"/>
    <n v="6"/>
    <n v="3"/>
    <x v="0"/>
    <x v="1"/>
    <x v="1"/>
    <x v="0"/>
    <x v="0"/>
    <n v="0"/>
    <n v="3"/>
    <n v="11"/>
    <x v="0"/>
  </r>
  <r>
    <n v="7822"/>
    <n v="1976"/>
    <x v="0"/>
    <s v="Together"/>
    <n v="54058"/>
    <n v="0"/>
    <n v="1"/>
    <d v="2013-06-04T00:00:00"/>
    <n v="56"/>
    <n v="198"/>
    <n v="18"/>
    <n v="252"/>
    <n v="32"/>
    <n v="108"/>
    <n v="54"/>
    <n v="2"/>
    <n v="4"/>
    <n v="6"/>
    <n v="8"/>
    <n v="3"/>
    <x v="0"/>
    <x v="0"/>
    <x v="0"/>
    <x v="0"/>
    <x v="0"/>
    <n v="0"/>
    <n v="3"/>
    <n v="11"/>
    <x v="1"/>
  </r>
  <r>
    <n v="8541"/>
    <n v="1990"/>
    <x v="4"/>
    <s v="Married"/>
    <n v="24683"/>
    <n v="1"/>
    <n v="0"/>
    <d v="2014-03-08T00:00:00"/>
    <n v="98"/>
    <n v="8"/>
    <n v="4"/>
    <n v="10"/>
    <n v="6"/>
    <n v="7"/>
    <n v="6"/>
    <n v="2"/>
    <n v="2"/>
    <n v="0"/>
    <n v="4"/>
    <n v="5"/>
    <x v="0"/>
    <x v="0"/>
    <x v="0"/>
    <x v="0"/>
    <x v="0"/>
    <n v="0"/>
    <n v="3"/>
    <n v="11"/>
    <x v="1"/>
  </r>
  <r>
    <n v="10955"/>
    <n v="1964"/>
    <x v="0"/>
    <s v="Widow"/>
    <n v="85620"/>
    <n v="0"/>
    <n v="0"/>
    <d v="2014-01-07T00:00:00"/>
    <n v="68"/>
    <n v="416"/>
    <n v="46"/>
    <n v="925"/>
    <n v="60"/>
    <n v="107"/>
    <n v="46"/>
    <n v="1"/>
    <n v="3"/>
    <n v="6"/>
    <n v="4"/>
    <n v="1"/>
    <x v="0"/>
    <x v="0"/>
    <x v="0"/>
    <x v="0"/>
    <x v="0"/>
    <n v="0"/>
    <n v="3"/>
    <n v="11"/>
    <x v="0"/>
  </r>
  <r>
    <n v="4368"/>
    <n v="1980"/>
    <x v="0"/>
    <s v="Married"/>
    <n v="47850"/>
    <n v="1"/>
    <n v="0"/>
    <d v="2013-12-03T00:00:00"/>
    <n v="72"/>
    <n v="42"/>
    <n v="7"/>
    <n v="43"/>
    <n v="20"/>
    <n v="12"/>
    <n v="10"/>
    <n v="1"/>
    <n v="3"/>
    <n v="0"/>
    <n v="4"/>
    <n v="6"/>
    <x v="0"/>
    <x v="0"/>
    <x v="0"/>
    <x v="0"/>
    <x v="0"/>
    <n v="0"/>
    <n v="3"/>
    <n v="11"/>
    <x v="1"/>
  </r>
  <r>
    <n v="9671"/>
    <n v="1968"/>
    <x v="0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x v="1"/>
    <x v="0"/>
    <x v="0"/>
    <x v="0"/>
    <x v="0"/>
    <n v="0"/>
    <n v="3"/>
    <n v="11"/>
    <x v="0"/>
  </r>
  <r>
    <n v="2256"/>
    <n v="1973"/>
    <x v="2"/>
    <s v="Married"/>
    <n v="27159"/>
    <n v="1"/>
    <n v="1"/>
    <d v="2014-03-29T00:00:00"/>
    <n v="33"/>
    <n v="17"/>
    <n v="0"/>
    <n v="3"/>
    <n v="0"/>
    <n v="0"/>
    <n v="1"/>
    <n v="2"/>
    <n v="1"/>
    <n v="0"/>
    <n v="3"/>
    <n v="6"/>
    <x v="0"/>
    <x v="0"/>
    <x v="0"/>
    <x v="0"/>
    <x v="0"/>
    <n v="0"/>
    <n v="3"/>
    <n v="11"/>
    <x v="1"/>
  </r>
  <r>
    <n v="4279"/>
    <n v="1963"/>
    <x v="4"/>
    <s v="Single"/>
    <n v="39548"/>
    <n v="1"/>
    <n v="1"/>
    <d v="2014-03-31T00:00:00"/>
    <n v="87"/>
    <n v="15"/>
    <n v="4"/>
    <n v="10"/>
    <n v="3"/>
    <n v="4"/>
    <n v="18"/>
    <n v="2"/>
    <n v="1"/>
    <n v="1"/>
    <n v="3"/>
    <n v="3"/>
    <x v="0"/>
    <x v="0"/>
    <x v="0"/>
    <x v="0"/>
    <x v="0"/>
    <n v="0"/>
    <n v="3"/>
    <n v="11"/>
    <x v="1"/>
  </r>
  <r>
    <n v="5371"/>
    <n v="1989"/>
    <x v="0"/>
    <s v="Single"/>
    <n v="21474"/>
    <n v="1"/>
    <n v="0"/>
    <d v="2014-04-08T00:00:00"/>
    <n v="0"/>
    <n v="6"/>
    <n v="16"/>
    <n v="24"/>
    <n v="11"/>
    <n v="0"/>
    <n v="34"/>
    <n v="2"/>
    <n v="3"/>
    <n v="1"/>
    <n v="2"/>
    <n v="7"/>
    <x v="1"/>
    <x v="0"/>
    <x v="0"/>
    <x v="0"/>
    <x v="0"/>
    <n v="0"/>
    <n v="3"/>
    <n v="11"/>
    <x v="0"/>
  </r>
  <r>
    <n v="9240"/>
    <n v="1971"/>
    <x v="1"/>
    <s v="Single"/>
    <n v="60504"/>
    <n v="0"/>
    <n v="1"/>
    <d v="2014-02-07T00:00:00"/>
    <n v="73"/>
    <n v="458"/>
    <n v="0"/>
    <n v="24"/>
    <n v="6"/>
    <n v="4"/>
    <n v="34"/>
    <n v="2"/>
    <n v="6"/>
    <n v="2"/>
    <n v="8"/>
    <n v="6"/>
    <x v="0"/>
    <x v="0"/>
    <x v="0"/>
    <x v="0"/>
    <x v="0"/>
    <n v="0"/>
    <n v="3"/>
    <n v="11"/>
    <x v="1"/>
  </r>
  <r>
    <n v="9460"/>
    <n v="1963"/>
    <x v="0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x v="0"/>
    <x v="0"/>
    <x v="0"/>
    <x v="0"/>
    <x v="0"/>
    <n v="0"/>
    <n v="3"/>
    <n v="11"/>
    <x v="1"/>
  </r>
  <r>
    <n v="9504"/>
    <n v="1949"/>
    <x v="2"/>
    <s v="Married"/>
    <n v="81698"/>
    <n v="0"/>
    <n v="0"/>
    <d v="2013-11-06T00:00:00"/>
    <n v="4"/>
    <n v="179"/>
    <n v="28"/>
    <n v="520"/>
    <n v="111"/>
    <n v="123"/>
    <n v="47"/>
    <n v="1"/>
    <n v="3"/>
    <n v="8"/>
    <n v="13"/>
    <n v="1"/>
    <x v="0"/>
    <x v="0"/>
    <x v="0"/>
    <x v="0"/>
    <x v="0"/>
    <n v="0"/>
    <n v="3"/>
    <n v="11"/>
    <x v="0"/>
  </r>
  <r>
    <n v="8692"/>
    <n v="1952"/>
    <x v="0"/>
    <s v="Together"/>
    <n v="43462"/>
    <n v="1"/>
    <n v="1"/>
    <d v="2012-09-12T00:00:00"/>
    <n v="50"/>
    <n v="90"/>
    <n v="17"/>
    <n v="97"/>
    <n v="15"/>
    <n v="6"/>
    <n v="15"/>
    <n v="6"/>
    <n v="4"/>
    <n v="1"/>
    <n v="5"/>
    <n v="8"/>
    <x v="0"/>
    <x v="0"/>
    <x v="0"/>
    <x v="0"/>
    <x v="0"/>
    <n v="0"/>
    <n v="3"/>
    <n v="11"/>
    <x v="1"/>
  </r>
  <r>
    <n v="448"/>
    <n v="1978"/>
    <x v="1"/>
    <s v="Single"/>
    <n v="54880"/>
    <n v="1"/>
    <n v="0"/>
    <d v="2013-03-01T00:00:00"/>
    <n v="57"/>
    <n v="308"/>
    <n v="85"/>
    <n v="137"/>
    <n v="102"/>
    <n v="45"/>
    <n v="118"/>
    <n v="2"/>
    <n v="6"/>
    <n v="2"/>
    <n v="11"/>
    <n v="5"/>
    <x v="0"/>
    <x v="0"/>
    <x v="0"/>
    <x v="0"/>
    <x v="0"/>
    <n v="0"/>
    <n v="3"/>
    <n v="11"/>
    <x v="1"/>
  </r>
  <r>
    <n v="8314"/>
    <n v="1982"/>
    <x v="0"/>
    <s v="Married"/>
    <n v="79908"/>
    <n v="0"/>
    <n v="0"/>
    <d v="2013-04-05T00:00:00"/>
    <n v="30"/>
    <n v="557"/>
    <n v="129"/>
    <n v="761"/>
    <n v="29"/>
    <n v="185"/>
    <n v="111"/>
    <n v="1"/>
    <n v="5"/>
    <n v="6"/>
    <n v="7"/>
    <n v="2"/>
    <x v="0"/>
    <x v="0"/>
    <x v="1"/>
    <x v="0"/>
    <x v="0"/>
    <n v="0"/>
    <n v="3"/>
    <n v="11"/>
    <x v="1"/>
  </r>
  <r>
    <n v="8420"/>
    <n v="1970"/>
    <x v="4"/>
    <s v="Married"/>
    <n v="15315"/>
    <n v="0"/>
    <n v="0"/>
    <d v="2013-08-03T00:00:00"/>
    <n v="27"/>
    <n v="7"/>
    <n v="4"/>
    <n v="13"/>
    <n v="15"/>
    <n v="8"/>
    <n v="17"/>
    <n v="2"/>
    <n v="2"/>
    <n v="0"/>
    <n v="4"/>
    <n v="5"/>
    <x v="0"/>
    <x v="0"/>
    <x v="0"/>
    <x v="0"/>
    <x v="0"/>
    <n v="0"/>
    <n v="3"/>
    <n v="11"/>
    <x v="1"/>
  </r>
  <r>
    <n v="3174"/>
    <n v="1959"/>
    <x v="0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x v="0"/>
    <x v="1"/>
    <x v="1"/>
    <x v="1"/>
    <x v="1"/>
    <n v="0"/>
    <n v="3"/>
    <n v="11"/>
    <x v="0"/>
  </r>
  <r>
    <n v="7685"/>
    <n v="1978"/>
    <x v="0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x v="0"/>
    <x v="0"/>
    <x v="0"/>
    <x v="0"/>
    <x v="0"/>
    <n v="0"/>
    <n v="3"/>
    <n v="11"/>
    <x v="1"/>
  </r>
  <r>
    <n v="3179"/>
    <n v="1980"/>
    <x v="0"/>
    <s v="Single"/>
    <n v="81741"/>
    <n v="0"/>
    <n v="0"/>
    <d v="2013-06-16T00:00:00"/>
    <n v="75"/>
    <n v="249"/>
    <n v="153"/>
    <n v="940"/>
    <n v="58"/>
    <n v="134"/>
    <n v="38"/>
    <n v="0"/>
    <n v="6"/>
    <n v="6"/>
    <n v="7"/>
    <n v="2"/>
    <x v="0"/>
    <x v="0"/>
    <x v="0"/>
    <x v="0"/>
    <x v="0"/>
    <n v="0"/>
    <n v="3"/>
    <n v="11"/>
    <x v="1"/>
  </r>
  <r>
    <n v="9780"/>
    <n v="1971"/>
    <x v="2"/>
    <s v="Together"/>
    <n v="71499"/>
    <n v="0"/>
    <n v="1"/>
    <d v="2013-06-25T00:00:00"/>
    <n v="12"/>
    <n v="465"/>
    <n v="25"/>
    <n v="132"/>
    <n v="136"/>
    <n v="0"/>
    <n v="37"/>
    <n v="2"/>
    <n v="8"/>
    <n v="3"/>
    <n v="13"/>
    <n v="4"/>
    <x v="0"/>
    <x v="0"/>
    <x v="0"/>
    <x v="0"/>
    <x v="0"/>
    <n v="0"/>
    <n v="3"/>
    <n v="11"/>
    <x v="1"/>
  </r>
  <r>
    <n v="10681"/>
    <n v="1970"/>
    <x v="4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x v="0"/>
    <x v="0"/>
    <x v="0"/>
    <x v="0"/>
    <x v="0"/>
    <n v="0"/>
    <n v="3"/>
    <n v="11"/>
    <x v="1"/>
  </r>
  <r>
    <n v="10232"/>
    <n v="1963"/>
    <x v="1"/>
    <s v="Divorced"/>
    <n v="48799"/>
    <n v="0"/>
    <n v="1"/>
    <d v="2013-11-05T00:00:00"/>
    <n v="9"/>
    <n v="174"/>
    <n v="18"/>
    <n v="81"/>
    <n v="28"/>
    <n v="6"/>
    <n v="24"/>
    <n v="3"/>
    <n v="3"/>
    <n v="2"/>
    <n v="7"/>
    <n v="3"/>
    <x v="0"/>
    <x v="0"/>
    <x v="0"/>
    <x v="0"/>
    <x v="0"/>
    <n v="0"/>
    <n v="3"/>
    <n v="11"/>
    <x v="1"/>
  </r>
  <r>
    <n v="4184"/>
    <n v="1950"/>
    <x v="1"/>
    <s v="Together"/>
    <n v="52157"/>
    <n v="0"/>
    <n v="1"/>
    <d v="2014-06-07T00:00:00"/>
    <n v="48"/>
    <n v="189"/>
    <n v="2"/>
    <n v="29"/>
    <n v="3"/>
    <n v="2"/>
    <n v="40"/>
    <n v="2"/>
    <n v="3"/>
    <n v="2"/>
    <n v="5"/>
    <n v="4"/>
    <x v="0"/>
    <x v="0"/>
    <x v="0"/>
    <x v="0"/>
    <x v="0"/>
    <n v="0"/>
    <n v="3"/>
    <n v="11"/>
    <x v="1"/>
  </r>
  <r>
    <n v="9120"/>
    <n v="1962"/>
    <x v="0"/>
    <s v="Single"/>
    <n v="66565"/>
    <n v="0"/>
    <n v="1"/>
    <d v="2012-12-05T00:00:00"/>
    <n v="80"/>
    <n v="747"/>
    <n v="10"/>
    <n v="161"/>
    <n v="65"/>
    <n v="40"/>
    <n v="42"/>
    <n v="4"/>
    <n v="4"/>
    <n v="2"/>
    <n v="9"/>
    <n v="8"/>
    <x v="0"/>
    <x v="0"/>
    <x v="0"/>
    <x v="0"/>
    <x v="0"/>
    <n v="0"/>
    <n v="3"/>
    <n v="11"/>
    <x v="1"/>
  </r>
  <r>
    <n v="891"/>
    <n v="1951"/>
    <x v="2"/>
    <s v="Together"/>
    <n v="29298"/>
    <n v="1"/>
    <n v="1"/>
    <d v="2013-09-07T00:00:00"/>
    <n v="60"/>
    <n v="6"/>
    <n v="0"/>
    <n v="2"/>
    <n v="2"/>
    <n v="0"/>
    <n v="1"/>
    <n v="1"/>
    <n v="1"/>
    <n v="0"/>
    <n v="2"/>
    <n v="5"/>
    <x v="0"/>
    <x v="0"/>
    <x v="0"/>
    <x v="0"/>
    <x v="0"/>
    <n v="0"/>
    <n v="3"/>
    <n v="11"/>
    <x v="1"/>
  </r>
  <r>
    <n v="10381"/>
    <n v="1979"/>
    <x v="0"/>
    <s v="Single"/>
    <n v="47691"/>
    <n v="0"/>
    <n v="1"/>
    <d v="2013-07-05T00:00:00"/>
    <n v="43"/>
    <n v="14"/>
    <n v="0"/>
    <n v="3"/>
    <n v="0"/>
    <n v="0"/>
    <n v="4"/>
    <n v="1"/>
    <n v="1"/>
    <n v="0"/>
    <n v="2"/>
    <n v="6"/>
    <x v="0"/>
    <x v="0"/>
    <x v="0"/>
    <x v="0"/>
    <x v="0"/>
    <n v="0"/>
    <n v="3"/>
    <n v="11"/>
    <x v="1"/>
  </r>
  <r>
    <n v="3525"/>
    <n v="1970"/>
    <x v="0"/>
    <s v="Together"/>
    <n v="38200"/>
    <n v="1"/>
    <n v="1"/>
    <d v="2012-12-07T00:00:00"/>
    <n v="19"/>
    <n v="12"/>
    <n v="0"/>
    <n v="4"/>
    <n v="0"/>
    <n v="0"/>
    <n v="1"/>
    <n v="1"/>
    <n v="1"/>
    <n v="0"/>
    <n v="2"/>
    <n v="7"/>
    <x v="0"/>
    <x v="0"/>
    <x v="0"/>
    <x v="0"/>
    <x v="0"/>
    <n v="0"/>
    <n v="3"/>
    <n v="11"/>
    <x v="1"/>
  </r>
  <r>
    <n v="6818"/>
    <n v="1974"/>
    <x v="0"/>
    <s v="Married"/>
    <n v="44989"/>
    <n v="0"/>
    <n v="1"/>
    <d v="2012-09-12T00:00:00"/>
    <n v="26"/>
    <n v="98"/>
    <n v="0"/>
    <n v="106"/>
    <n v="49"/>
    <n v="10"/>
    <n v="106"/>
    <n v="5"/>
    <n v="5"/>
    <n v="1"/>
    <n v="5"/>
    <n v="6"/>
    <x v="0"/>
    <x v="0"/>
    <x v="0"/>
    <x v="0"/>
    <x v="0"/>
    <n v="0"/>
    <n v="3"/>
    <n v="11"/>
    <x v="1"/>
  </r>
  <r>
    <n v="3526"/>
    <n v="1968"/>
    <x v="1"/>
    <s v="Married"/>
    <n v="38443"/>
    <n v="1"/>
    <n v="1"/>
    <d v="2014-01-27T00:00:00"/>
    <n v="58"/>
    <n v="32"/>
    <n v="0"/>
    <n v="5"/>
    <n v="0"/>
    <n v="0"/>
    <n v="1"/>
    <n v="2"/>
    <n v="1"/>
    <n v="0"/>
    <n v="3"/>
    <n v="7"/>
    <x v="0"/>
    <x v="0"/>
    <x v="0"/>
    <x v="0"/>
    <x v="0"/>
    <n v="0"/>
    <n v="3"/>
    <n v="11"/>
    <x v="1"/>
  </r>
  <r>
    <n v="8181"/>
    <n v="1978"/>
    <x v="4"/>
    <s v="Single"/>
    <n v="38593"/>
    <n v="1"/>
    <n v="0"/>
    <d v="2013-09-13T00:00:00"/>
    <n v="42"/>
    <n v="51"/>
    <n v="12"/>
    <n v="49"/>
    <n v="17"/>
    <n v="24"/>
    <n v="24"/>
    <n v="3"/>
    <n v="4"/>
    <n v="1"/>
    <n v="3"/>
    <n v="8"/>
    <x v="0"/>
    <x v="0"/>
    <x v="0"/>
    <x v="0"/>
    <x v="0"/>
    <n v="0"/>
    <n v="3"/>
    <n v="11"/>
    <x v="1"/>
  </r>
  <r>
    <n v="1029"/>
    <n v="1970"/>
    <x v="1"/>
    <s v="Together"/>
    <n v="64413"/>
    <n v="0"/>
    <n v="1"/>
    <d v="2013-08-01T00:00:00"/>
    <n v="27"/>
    <n v="200"/>
    <n v="5"/>
    <n v="44"/>
    <n v="0"/>
    <n v="10"/>
    <n v="20"/>
    <n v="1"/>
    <n v="5"/>
    <n v="1"/>
    <n v="5"/>
    <n v="5"/>
    <x v="0"/>
    <x v="0"/>
    <x v="0"/>
    <x v="0"/>
    <x v="0"/>
    <n v="0"/>
    <n v="3"/>
    <n v="11"/>
    <x v="1"/>
  </r>
  <r>
    <n v="7369"/>
    <n v="1981"/>
    <x v="2"/>
    <s v="Married"/>
    <n v="36959"/>
    <n v="1"/>
    <n v="0"/>
    <d v="2013-10-02T00:00:00"/>
    <n v="56"/>
    <n v="25"/>
    <n v="6"/>
    <n v="25"/>
    <n v="6"/>
    <n v="0"/>
    <n v="0"/>
    <n v="2"/>
    <n v="2"/>
    <n v="0"/>
    <n v="3"/>
    <n v="8"/>
    <x v="0"/>
    <x v="0"/>
    <x v="0"/>
    <x v="0"/>
    <x v="0"/>
    <n v="0"/>
    <n v="3"/>
    <n v="11"/>
    <x v="1"/>
  </r>
  <r>
    <n v="2574"/>
    <n v="1977"/>
    <x v="1"/>
    <s v="Married"/>
    <n v="61996"/>
    <n v="0"/>
    <n v="1"/>
    <d v="2013-01-31T00:00:00"/>
    <n v="27"/>
    <n v="1050"/>
    <n v="12"/>
    <n v="144"/>
    <n v="0"/>
    <n v="0"/>
    <n v="24"/>
    <n v="3"/>
    <n v="6"/>
    <n v="4"/>
    <n v="8"/>
    <n v="5"/>
    <x v="0"/>
    <x v="1"/>
    <x v="0"/>
    <x v="1"/>
    <x v="1"/>
    <n v="0"/>
    <n v="3"/>
    <n v="11"/>
    <x v="0"/>
  </r>
  <r>
    <n v="8159"/>
    <n v="1968"/>
    <x v="0"/>
    <s v="Married"/>
    <n v="51287"/>
    <n v="1"/>
    <n v="1"/>
    <d v="2014-04-01T00:00:00"/>
    <n v="10"/>
    <n v="117"/>
    <n v="0"/>
    <n v="22"/>
    <n v="13"/>
    <n v="0"/>
    <n v="30"/>
    <n v="3"/>
    <n v="4"/>
    <n v="1"/>
    <n v="3"/>
    <n v="7"/>
    <x v="0"/>
    <x v="0"/>
    <x v="0"/>
    <x v="0"/>
    <x v="0"/>
    <n v="0"/>
    <n v="3"/>
    <n v="11"/>
    <x v="1"/>
  </r>
  <r>
    <n v="1160"/>
    <n v="1970"/>
    <x v="0"/>
    <s v="Married"/>
    <n v="13260"/>
    <n v="1"/>
    <n v="1"/>
    <d v="2013-08-23T00:00:00"/>
    <n v="48"/>
    <n v="9"/>
    <n v="4"/>
    <n v="17"/>
    <n v="10"/>
    <n v="2"/>
    <n v="7"/>
    <n v="4"/>
    <n v="3"/>
    <n v="0"/>
    <n v="3"/>
    <n v="8"/>
    <x v="0"/>
    <x v="0"/>
    <x v="0"/>
    <x v="0"/>
    <x v="0"/>
    <n v="0"/>
    <n v="3"/>
    <n v="11"/>
    <x v="1"/>
  </r>
  <r>
    <n v="10242"/>
    <n v="1966"/>
    <x v="1"/>
    <s v="Together"/>
    <n v="47472"/>
    <n v="1"/>
    <n v="1"/>
    <d v="2013-09-16T00:00:00"/>
    <n v="39"/>
    <n v="56"/>
    <n v="0"/>
    <n v="11"/>
    <n v="0"/>
    <n v="0"/>
    <n v="8"/>
    <n v="2"/>
    <n v="2"/>
    <n v="0"/>
    <n v="4"/>
    <n v="5"/>
    <x v="0"/>
    <x v="0"/>
    <x v="0"/>
    <x v="0"/>
    <x v="0"/>
    <n v="0"/>
    <n v="3"/>
    <n v="11"/>
    <x v="1"/>
  </r>
  <r>
    <n v="5253"/>
    <n v="1956"/>
    <x v="2"/>
    <s v="Together"/>
    <n v="54603"/>
    <n v="1"/>
    <n v="1"/>
    <d v="2013-07-09T00:00:00"/>
    <n v="85"/>
    <n v="145"/>
    <n v="13"/>
    <n v="46"/>
    <n v="17"/>
    <n v="2"/>
    <n v="4"/>
    <n v="6"/>
    <n v="4"/>
    <n v="2"/>
    <n v="4"/>
    <n v="7"/>
    <x v="0"/>
    <x v="0"/>
    <x v="0"/>
    <x v="0"/>
    <x v="0"/>
    <n v="0"/>
    <n v="3"/>
    <n v="11"/>
    <x v="1"/>
  </r>
  <r>
    <n v="5966"/>
    <n v="1974"/>
    <x v="1"/>
    <s v="Married"/>
    <n v="45207"/>
    <n v="1"/>
    <n v="1"/>
    <d v="2012-11-10T00:00:00"/>
    <n v="64"/>
    <n v="203"/>
    <n v="0"/>
    <n v="10"/>
    <n v="0"/>
    <n v="0"/>
    <n v="2"/>
    <n v="5"/>
    <n v="3"/>
    <n v="1"/>
    <n v="6"/>
    <n v="6"/>
    <x v="0"/>
    <x v="1"/>
    <x v="0"/>
    <x v="0"/>
    <x v="0"/>
    <n v="0"/>
    <n v="3"/>
    <n v="11"/>
    <x v="1"/>
  </r>
  <r>
    <n v="5314"/>
    <n v="1951"/>
    <x v="0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x v="0"/>
    <x v="0"/>
    <x v="0"/>
    <x v="0"/>
    <x v="0"/>
    <n v="0"/>
    <n v="3"/>
    <n v="11"/>
    <x v="1"/>
  </r>
  <r>
    <n v="5081"/>
    <n v="1967"/>
    <x v="4"/>
    <s v="Together"/>
    <n v="47821"/>
    <n v="1"/>
    <n v="1"/>
    <d v="2013-10-20T00:00:00"/>
    <n v="54"/>
    <n v="9"/>
    <n v="0"/>
    <n v="16"/>
    <n v="6"/>
    <n v="6"/>
    <n v="10"/>
    <n v="1"/>
    <n v="1"/>
    <n v="0"/>
    <n v="3"/>
    <n v="8"/>
    <x v="0"/>
    <x v="0"/>
    <x v="0"/>
    <x v="0"/>
    <x v="0"/>
    <n v="0"/>
    <n v="3"/>
    <n v="11"/>
    <x v="1"/>
  </r>
  <r>
    <n v="5123"/>
    <n v="1951"/>
    <x v="2"/>
    <s v="Married"/>
    <n v="27450"/>
    <n v="0"/>
    <n v="0"/>
    <d v="2013-04-15T00:00:00"/>
    <n v="57"/>
    <n v="37"/>
    <n v="12"/>
    <n v="23"/>
    <n v="8"/>
    <n v="11"/>
    <n v="52"/>
    <n v="1"/>
    <n v="2"/>
    <n v="1"/>
    <n v="3"/>
    <n v="7"/>
    <x v="0"/>
    <x v="0"/>
    <x v="0"/>
    <x v="0"/>
    <x v="0"/>
    <n v="0"/>
    <n v="3"/>
    <n v="11"/>
    <x v="1"/>
  </r>
  <r>
    <n v="5756"/>
    <n v="1983"/>
    <x v="0"/>
    <s v="Together"/>
    <n v="39453"/>
    <n v="1"/>
    <n v="0"/>
    <d v="2014-04-03T00:00:00"/>
    <n v="64"/>
    <n v="46"/>
    <n v="0"/>
    <n v="7"/>
    <n v="0"/>
    <n v="0"/>
    <n v="2"/>
    <n v="2"/>
    <n v="2"/>
    <n v="0"/>
    <n v="3"/>
    <n v="6"/>
    <x v="0"/>
    <x v="0"/>
    <x v="0"/>
    <x v="0"/>
    <x v="0"/>
    <n v="0"/>
    <n v="3"/>
    <n v="11"/>
    <x v="1"/>
  </r>
  <r>
    <n v="8036"/>
    <n v="1971"/>
    <x v="4"/>
    <s v="Together"/>
    <n v="26850"/>
    <n v="1"/>
    <n v="1"/>
    <d v="2014-04-18T00:00:00"/>
    <n v="10"/>
    <n v="31"/>
    <n v="1"/>
    <n v="13"/>
    <n v="7"/>
    <n v="2"/>
    <n v="9"/>
    <n v="4"/>
    <n v="2"/>
    <n v="1"/>
    <n v="4"/>
    <n v="4"/>
    <x v="0"/>
    <x v="0"/>
    <x v="0"/>
    <x v="0"/>
    <x v="0"/>
    <n v="0"/>
    <n v="3"/>
    <n v="11"/>
    <x v="1"/>
  </r>
  <r>
    <n v="9058"/>
    <n v="1955"/>
    <x v="0"/>
    <s v="Widow"/>
    <n v="79800"/>
    <n v="0"/>
    <n v="0"/>
    <d v="2012-09-23T00:00:00"/>
    <n v="65"/>
    <n v="1060"/>
    <n v="21"/>
    <n v="530"/>
    <n v="32"/>
    <n v="0"/>
    <n v="224"/>
    <n v="1"/>
    <n v="5"/>
    <n v="11"/>
    <n v="5"/>
    <n v="3"/>
    <x v="1"/>
    <x v="0"/>
    <x v="1"/>
    <x v="1"/>
    <x v="0"/>
    <n v="0"/>
    <n v="3"/>
    <n v="11"/>
    <x v="0"/>
  </r>
  <r>
    <n v="5057"/>
    <n v="1961"/>
    <x v="2"/>
    <s v="Married"/>
    <n v="61794"/>
    <n v="0"/>
    <n v="1"/>
    <d v="2013-09-14T00:00:00"/>
    <n v="74"/>
    <n v="264"/>
    <n v="47"/>
    <n v="188"/>
    <n v="54"/>
    <n v="47"/>
    <n v="11"/>
    <n v="2"/>
    <n v="4"/>
    <n v="4"/>
    <n v="10"/>
    <n v="2"/>
    <x v="0"/>
    <x v="0"/>
    <x v="0"/>
    <x v="0"/>
    <x v="0"/>
    <n v="0"/>
    <n v="3"/>
    <n v="11"/>
    <x v="1"/>
  </r>
  <r>
    <n v="254"/>
    <n v="1955"/>
    <x v="0"/>
    <s v="Together"/>
    <n v="53863"/>
    <n v="0"/>
    <n v="1"/>
    <d v="2014-05-17T00:00:00"/>
    <n v="4"/>
    <n v="399"/>
    <n v="4"/>
    <n v="30"/>
    <n v="6"/>
    <n v="4"/>
    <n v="30"/>
    <n v="3"/>
    <n v="7"/>
    <n v="1"/>
    <n v="7"/>
    <n v="7"/>
    <x v="0"/>
    <x v="1"/>
    <x v="0"/>
    <x v="0"/>
    <x v="0"/>
    <n v="0"/>
    <n v="3"/>
    <n v="11"/>
    <x v="1"/>
  </r>
  <r>
    <n v="4179"/>
    <n v="1959"/>
    <x v="0"/>
    <s v="Together"/>
    <n v="24221"/>
    <n v="0"/>
    <n v="0"/>
    <d v="2013-08-20T00:00:00"/>
    <n v="94"/>
    <n v="8"/>
    <n v="9"/>
    <n v="9"/>
    <n v="2"/>
    <n v="5"/>
    <n v="22"/>
    <n v="1"/>
    <n v="1"/>
    <n v="1"/>
    <n v="3"/>
    <n v="4"/>
    <x v="0"/>
    <x v="0"/>
    <x v="0"/>
    <x v="0"/>
    <x v="0"/>
    <n v="0"/>
    <n v="3"/>
    <n v="11"/>
    <x v="1"/>
  </r>
  <r>
    <n v="3710"/>
    <n v="1984"/>
    <x v="1"/>
    <s v="Single"/>
    <n v="39684"/>
    <n v="1"/>
    <n v="0"/>
    <d v="2012-10-12T00:00:00"/>
    <n v="41"/>
    <n v="19"/>
    <n v="0"/>
    <n v="35"/>
    <n v="6"/>
    <n v="4"/>
    <n v="17"/>
    <n v="2"/>
    <n v="2"/>
    <n v="1"/>
    <n v="2"/>
    <n v="7"/>
    <x v="0"/>
    <x v="0"/>
    <x v="0"/>
    <x v="0"/>
    <x v="0"/>
    <n v="1"/>
    <n v="3"/>
    <n v="11"/>
    <x v="0"/>
  </r>
  <r>
    <n v="7627"/>
    <n v="1975"/>
    <x v="2"/>
    <s v="Married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x v="0"/>
    <x v="0"/>
    <x v="1"/>
    <x v="1"/>
    <x v="0"/>
    <n v="0"/>
    <n v="3"/>
    <n v="11"/>
    <x v="0"/>
  </r>
  <r>
    <n v="4501"/>
    <n v="1965"/>
    <x v="2"/>
    <s v="Single"/>
    <n v="69882"/>
    <n v="0"/>
    <n v="0"/>
    <d v="2013-11-10T00:00:00"/>
    <n v="94"/>
    <n v="292"/>
    <n v="127"/>
    <n v="635"/>
    <n v="132"/>
    <n v="127"/>
    <n v="165"/>
    <n v="1"/>
    <n v="3"/>
    <n v="7"/>
    <n v="9"/>
    <n v="1"/>
    <x v="0"/>
    <x v="0"/>
    <x v="0"/>
    <x v="0"/>
    <x v="0"/>
    <n v="0"/>
    <n v="3"/>
    <n v="11"/>
    <x v="1"/>
  </r>
  <r>
    <n v="6424"/>
    <n v="1977"/>
    <x v="0"/>
    <s v="Together"/>
    <n v="33178"/>
    <n v="1"/>
    <n v="0"/>
    <d v="2014-01-30T00:00:00"/>
    <n v="9"/>
    <n v="12"/>
    <n v="6"/>
    <n v="2"/>
    <n v="11"/>
    <n v="2"/>
    <n v="16"/>
    <n v="1"/>
    <n v="1"/>
    <n v="0"/>
    <n v="3"/>
    <n v="4"/>
    <x v="0"/>
    <x v="0"/>
    <x v="0"/>
    <x v="0"/>
    <x v="0"/>
    <n v="0"/>
    <n v="3"/>
    <n v="11"/>
    <x v="1"/>
  </r>
  <r>
    <n v="3075"/>
    <n v="1972"/>
    <x v="1"/>
    <s v="Married"/>
    <n v="59973"/>
    <n v="0"/>
    <n v="0"/>
    <d v="2013-09-11T00:00:00"/>
    <n v="47"/>
    <n v="130"/>
    <n v="30"/>
    <n v="168"/>
    <n v="20"/>
    <n v="34"/>
    <n v="0"/>
    <n v="1"/>
    <n v="3"/>
    <n v="4"/>
    <n v="7"/>
    <n v="1"/>
    <x v="0"/>
    <x v="0"/>
    <x v="0"/>
    <x v="0"/>
    <x v="0"/>
    <n v="0"/>
    <n v="3"/>
    <n v="11"/>
    <x v="1"/>
  </r>
  <r>
    <n v="4992"/>
    <n v="1975"/>
    <x v="2"/>
    <s v="Together"/>
    <n v="17459"/>
    <n v="1"/>
    <n v="0"/>
    <d v="2013-09-19T00:00:00"/>
    <n v="12"/>
    <n v="6"/>
    <n v="4"/>
    <n v="16"/>
    <n v="3"/>
    <n v="10"/>
    <n v="30"/>
    <n v="3"/>
    <n v="3"/>
    <n v="1"/>
    <n v="2"/>
    <n v="7"/>
    <x v="0"/>
    <x v="0"/>
    <x v="0"/>
    <x v="0"/>
    <x v="0"/>
    <n v="0"/>
    <n v="3"/>
    <n v="11"/>
    <x v="0"/>
  </r>
  <r>
    <n v="5252"/>
    <n v="1969"/>
    <x v="0"/>
    <s v="Divorced"/>
    <n v="23910"/>
    <n v="1"/>
    <n v="0"/>
    <d v="2012-10-26T00:00:00"/>
    <n v="80"/>
    <n v="16"/>
    <n v="12"/>
    <n v="18"/>
    <n v="7"/>
    <n v="1"/>
    <n v="13"/>
    <n v="1"/>
    <n v="2"/>
    <n v="0"/>
    <n v="3"/>
    <n v="7"/>
    <x v="0"/>
    <x v="0"/>
    <x v="0"/>
    <x v="0"/>
    <x v="0"/>
    <n v="0"/>
    <n v="3"/>
    <n v="11"/>
    <x v="1"/>
  </r>
  <r>
    <n v="7444"/>
    <n v="1969"/>
    <x v="2"/>
    <s v="Married"/>
    <n v="42169"/>
    <n v="1"/>
    <n v="1"/>
    <d v="2013-10-19T00:00:00"/>
    <n v="20"/>
    <n v="19"/>
    <n v="0"/>
    <n v="9"/>
    <n v="0"/>
    <n v="0"/>
    <n v="2"/>
    <n v="2"/>
    <n v="1"/>
    <n v="0"/>
    <n v="3"/>
    <n v="8"/>
    <x v="0"/>
    <x v="0"/>
    <x v="0"/>
    <x v="0"/>
    <x v="0"/>
    <n v="0"/>
    <n v="3"/>
    <n v="11"/>
    <x v="1"/>
  </r>
  <r>
    <n v="6919"/>
    <n v="1978"/>
    <x v="4"/>
    <s v="Married"/>
    <n v="26224"/>
    <n v="1"/>
    <n v="0"/>
    <d v="2013-06-04T00:00:00"/>
    <n v="39"/>
    <n v="4"/>
    <n v="7"/>
    <n v="15"/>
    <n v="13"/>
    <n v="9"/>
    <n v="15"/>
    <n v="3"/>
    <n v="2"/>
    <n v="1"/>
    <n v="3"/>
    <n v="6"/>
    <x v="0"/>
    <x v="0"/>
    <x v="0"/>
    <x v="0"/>
    <x v="0"/>
    <n v="0"/>
    <n v="3"/>
    <n v="11"/>
    <x v="1"/>
  </r>
  <r>
    <n v="3537"/>
    <n v="1981"/>
    <x v="0"/>
    <s v="Together"/>
    <n v="31089"/>
    <n v="1"/>
    <n v="0"/>
    <d v="2012-08-17T00:00:00"/>
    <n v="57"/>
    <n v="31"/>
    <n v="3"/>
    <n v="31"/>
    <n v="2"/>
    <n v="8"/>
    <n v="4"/>
    <n v="3"/>
    <n v="3"/>
    <n v="0"/>
    <n v="4"/>
    <n v="8"/>
    <x v="0"/>
    <x v="0"/>
    <x v="0"/>
    <x v="0"/>
    <x v="0"/>
    <n v="0"/>
    <n v="3"/>
    <n v="11"/>
    <x v="1"/>
  </r>
  <r>
    <n v="10277"/>
    <n v="1961"/>
    <x v="0"/>
    <s v="Single"/>
    <n v="30081"/>
    <n v="0"/>
    <n v="1"/>
    <d v="2013-02-21T00:00:00"/>
    <n v="27"/>
    <n v="36"/>
    <n v="0"/>
    <n v="2"/>
    <n v="0"/>
    <n v="0"/>
    <n v="4"/>
    <n v="1"/>
    <n v="1"/>
    <n v="0"/>
    <n v="3"/>
    <n v="7"/>
    <x v="0"/>
    <x v="0"/>
    <x v="0"/>
    <x v="0"/>
    <x v="0"/>
    <n v="0"/>
    <n v="3"/>
    <n v="11"/>
    <x v="1"/>
  </r>
  <r>
    <n v="2453"/>
    <n v="1960"/>
    <x v="0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x v="0"/>
    <x v="0"/>
    <x v="0"/>
    <x v="0"/>
    <x v="0"/>
    <n v="0"/>
    <n v="3"/>
    <n v="11"/>
    <x v="1"/>
  </r>
  <r>
    <n v="7972"/>
    <n v="1955"/>
    <x v="0"/>
    <s v="Single"/>
    <n v="72906"/>
    <n v="0"/>
    <n v="0"/>
    <d v="2013-09-17T00:00:00"/>
    <n v="79"/>
    <n v="400"/>
    <n v="32"/>
    <n v="519"/>
    <n v="71"/>
    <n v="75"/>
    <n v="54"/>
    <n v="1"/>
    <n v="3"/>
    <n v="4"/>
    <n v="9"/>
    <n v="1"/>
    <x v="0"/>
    <x v="0"/>
    <x v="0"/>
    <x v="0"/>
    <x v="0"/>
    <n v="0"/>
    <n v="3"/>
    <n v="11"/>
    <x v="1"/>
  </r>
  <r>
    <n v="895"/>
    <n v="1948"/>
    <x v="1"/>
    <s v="Married"/>
    <n v="61467"/>
    <n v="0"/>
    <n v="2"/>
    <d v="2012-12-09T00:00:00"/>
    <n v="69"/>
    <n v="410"/>
    <n v="16"/>
    <n v="114"/>
    <n v="0"/>
    <n v="5"/>
    <n v="49"/>
    <n v="3"/>
    <n v="5"/>
    <n v="2"/>
    <n v="10"/>
    <n v="5"/>
    <x v="0"/>
    <x v="0"/>
    <x v="0"/>
    <x v="0"/>
    <x v="0"/>
    <n v="0"/>
    <n v="3"/>
    <n v="11"/>
    <x v="1"/>
  </r>
  <r>
    <n v="1177"/>
    <n v="1966"/>
    <x v="2"/>
    <s v="Together"/>
    <n v="49618"/>
    <n v="1"/>
    <n v="1"/>
    <d v="2013-01-26T00:00:00"/>
    <n v="77"/>
    <n v="80"/>
    <n v="3"/>
    <n v="26"/>
    <n v="4"/>
    <n v="2"/>
    <n v="14"/>
    <n v="4"/>
    <n v="3"/>
    <n v="1"/>
    <n v="3"/>
    <n v="7"/>
    <x v="0"/>
    <x v="0"/>
    <x v="0"/>
    <x v="0"/>
    <x v="0"/>
    <n v="0"/>
    <n v="3"/>
    <n v="11"/>
    <x v="1"/>
  </r>
  <r>
    <n v="7141"/>
    <n v="1986"/>
    <x v="2"/>
    <s v="Single"/>
    <n v="21888"/>
    <n v="1"/>
    <n v="0"/>
    <d v="2012-12-29T00:00:00"/>
    <n v="15"/>
    <n v="88"/>
    <n v="10"/>
    <n v="46"/>
    <n v="2"/>
    <n v="3"/>
    <n v="64"/>
    <n v="4"/>
    <n v="5"/>
    <n v="1"/>
    <n v="2"/>
    <n v="10"/>
    <x v="0"/>
    <x v="0"/>
    <x v="0"/>
    <x v="0"/>
    <x v="0"/>
    <n v="0"/>
    <n v="3"/>
    <n v="11"/>
    <x v="0"/>
  </r>
  <r>
    <n v="7232"/>
    <n v="1973"/>
    <x v="0"/>
    <s v="Widow"/>
    <n v="42429"/>
    <n v="0"/>
    <n v="1"/>
    <d v="2014-02-11T00:00:00"/>
    <n v="99"/>
    <n v="55"/>
    <n v="0"/>
    <n v="6"/>
    <n v="2"/>
    <n v="0"/>
    <n v="4"/>
    <n v="2"/>
    <n v="1"/>
    <n v="1"/>
    <n v="3"/>
    <n v="5"/>
    <x v="0"/>
    <x v="0"/>
    <x v="0"/>
    <x v="0"/>
    <x v="0"/>
    <n v="0"/>
    <n v="3"/>
    <n v="11"/>
    <x v="1"/>
  </r>
  <r>
    <n v="8477"/>
    <n v="1956"/>
    <x v="0"/>
    <s v="Divorced"/>
    <n v="26150"/>
    <n v="2"/>
    <n v="1"/>
    <d v="2013-03-11T00:00:00"/>
    <n v="61"/>
    <n v="5"/>
    <n v="1"/>
    <n v="13"/>
    <n v="3"/>
    <n v="5"/>
    <n v="1"/>
    <n v="1"/>
    <n v="1"/>
    <n v="0"/>
    <n v="3"/>
    <n v="7"/>
    <x v="0"/>
    <x v="0"/>
    <x v="0"/>
    <x v="0"/>
    <x v="0"/>
    <n v="0"/>
    <n v="3"/>
    <n v="11"/>
    <x v="1"/>
  </r>
  <r>
    <n v="2457"/>
    <n v="1975"/>
    <x v="3"/>
    <s v="Married"/>
    <n v="30801"/>
    <n v="0"/>
    <n v="1"/>
    <d v="2012-10-26T00:00:00"/>
    <n v="23"/>
    <n v="8"/>
    <n v="4"/>
    <n v="5"/>
    <n v="15"/>
    <n v="2"/>
    <n v="11"/>
    <n v="2"/>
    <n v="1"/>
    <n v="0"/>
    <n v="3"/>
    <n v="7"/>
    <x v="0"/>
    <x v="0"/>
    <x v="0"/>
    <x v="0"/>
    <x v="0"/>
    <n v="0"/>
    <n v="3"/>
    <n v="11"/>
    <x v="1"/>
  </r>
  <r>
    <n v="988"/>
    <n v="1965"/>
    <x v="0"/>
    <s v="Married"/>
    <n v="81168"/>
    <n v="0"/>
    <n v="0"/>
    <d v="2014-05-07T00:00:00"/>
    <n v="84"/>
    <n v="410"/>
    <n v="0"/>
    <n v="592"/>
    <n v="147"/>
    <n v="22"/>
    <n v="22"/>
    <n v="1"/>
    <n v="6"/>
    <n v="4"/>
    <n v="7"/>
    <n v="3"/>
    <x v="0"/>
    <x v="0"/>
    <x v="0"/>
    <x v="1"/>
    <x v="0"/>
    <n v="0"/>
    <n v="3"/>
    <n v="11"/>
    <x v="1"/>
  </r>
  <r>
    <n v="7930"/>
    <n v="1969"/>
    <x v="2"/>
    <s v="Single"/>
    <n v="26877"/>
    <n v="0"/>
    <n v="0"/>
    <d v="2013-08-19T00:00:00"/>
    <n v="74"/>
    <n v="101"/>
    <n v="13"/>
    <n v="76"/>
    <n v="20"/>
    <n v="18"/>
    <n v="40"/>
    <n v="2"/>
    <n v="3"/>
    <n v="1"/>
    <n v="6"/>
    <n v="6"/>
    <x v="0"/>
    <x v="0"/>
    <x v="0"/>
    <x v="0"/>
    <x v="0"/>
    <n v="0"/>
    <n v="3"/>
    <n v="11"/>
    <x v="1"/>
  </r>
  <r>
    <n v="4587"/>
    <n v="1944"/>
    <x v="2"/>
    <s v="Widow"/>
    <n v="45006"/>
    <n v="0"/>
    <n v="0"/>
    <d v="2013-07-18T00:00:00"/>
    <n v="90"/>
    <n v="162"/>
    <n v="25"/>
    <n v="53"/>
    <n v="16"/>
    <n v="0"/>
    <n v="10"/>
    <n v="1"/>
    <n v="3"/>
    <n v="1"/>
    <n v="7"/>
    <n v="3"/>
    <x v="0"/>
    <x v="0"/>
    <x v="0"/>
    <x v="0"/>
    <x v="0"/>
    <n v="0"/>
    <n v="3"/>
    <n v="11"/>
    <x v="1"/>
  </r>
  <r>
    <n v="6682"/>
    <n v="1973"/>
    <x v="3"/>
    <s v="Married"/>
    <n v="18978"/>
    <n v="1"/>
    <n v="0"/>
    <d v="2012-12-11T00:00:00"/>
    <n v="41"/>
    <n v="2"/>
    <n v="8"/>
    <n v="1"/>
    <n v="4"/>
    <n v="7"/>
    <n v="15"/>
    <n v="1"/>
    <n v="1"/>
    <n v="0"/>
    <n v="3"/>
    <n v="8"/>
    <x v="0"/>
    <x v="0"/>
    <x v="0"/>
    <x v="0"/>
    <x v="0"/>
    <n v="0"/>
    <n v="3"/>
    <n v="11"/>
    <x v="1"/>
  </r>
  <r>
    <n v="6222"/>
    <n v="1967"/>
    <x v="0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x v="0"/>
    <x v="0"/>
    <x v="0"/>
    <x v="0"/>
    <x v="0"/>
    <n v="0"/>
    <n v="3"/>
    <n v="11"/>
    <x v="1"/>
  </r>
  <r>
    <n v="10299"/>
    <n v="1969"/>
    <x v="1"/>
    <s v="Single"/>
    <n v="48240"/>
    <n v="0"/>
    <n v="0"/>
    <d v="2012-11-09T00:00:00"/>
    <n v="73"/>
    <n v="389"/>
    <n v="91"/>
    <n v="248"/>
    <n v="64"/>
    <n v="49"/>
    <n v="41"/>
    <n v="3"/>
    <n v="6"/>
    <n v="3"/>
    <n v="13"/>
    <n v="5"/>
    <x v="0"/>
    <x v="0"/>
    <x v="0"/>
    <x v="0"/>
    <x v="0"/>
    <n v="0"/>
    <n v="3"/>
    <n v="11"/>
    <x v="0"/>
  </r>
  <r>
    <n v="3083"/>
    <n v="1974"/>
    <x v="0"/>
    <s v="Married"/>
    <n v="45837"/>
    <n v="1"/>
    <n v="1"/>
    <d v="2013-07-26T00:00:00"/>
    <n v="88"/>
    <n v="215"/>
    <n v="13"/>
    <n v="87"/>
    <n v="17"/>
    <n v="17"/>
    <n v="24"/>
    <n v="5"/>
    <n v="6"/>
    <n v="2"/>
    <n v="5"/>
    <n v="7"/>
    <x v="0"/>
    <x v="0"/>
    <x v="0"/>
    <x v="0"/>
    <x v="0"/>
    <n v="0"/>
    <n v="3"/>
    <n v="11"/>
    <x v="1"/>
  </r>
  <r>
    <n v="8953"/>
    <n v="1965"/>
    <x v="2"/>
    <s v="Single"/>
    <n v="35791"/>
    <n v="2"/>
    <n v="1"/>
    <d v="2013-05-06T00:00:00"/>
    <n v="94"/>
    <n v="27"/>
    <n v="0"/>
    <n v="5"/>
    <n v="0"/>
    <n v="0"/>
    <n v="3"/>
    <n v="2"/>
    <n v="1"/>
    <n v="0"/>
    <n v="3"/>
    <n v="8"/>
    <x v="0"/>
    <x v="0"/>
    <x v="0"/>
    <x v="0"/>
    <x v="0"/>
    <n v="0"/>
    <n v="3"/>
    <n v="11"/>
    <x v="1"/>
  </r>
  <r>
    <n v="1503"/>
    <n v="1976"/>
    <x v="1"/>
    <s v="Together"/>
    <n v="162397"/>
    <n v="1"/>
    <n v="1"/>
    <d v="2013-06-03T00:00:00"/>
    <n v="31"/>
    <n v="85"/>
    <n v="1"/>
    <n v="16"/>
    <n v="2"/>
    <n v="1"/>
    <n v="2"/>
    <n v="0"/>
    <n v="0"/>
    <n v="0"/>
    <n v="1"/>
    <n v="1"/>
    <x v="0"/>
    <x v="0"/>
    <x v="0"/>
    <x v="0"/>
    <x v="0"/>
    <n v="0"/>
    <n v="3"/>
    <n v="11"/>
    <x v="1"/>
  </r>
  <r>
    <n v="8650"/>
    <n v="1978"/>
    <x v="0"/>
    <s v="Widow"/>
    <n v="54162"/>
    <n v="1"/>
    <n v="1"/>
    <d v="2013-03-18T00:00:00"/>
    <n v="31"/>
    <n v="5"/>
    <n v="6"/>
    <n v="10"/>
    <n v="6"/>
    <n v="5"/>
    <n v="10"/>
    <n v="1"/>
    <n v="1"/>
    <n v="0"/>
    <n v="3"/>
    <n v="4"/>
    <x v="0"/>
    <x v="0"/>
    <x v="0"/>
    <x v="0"/>
    <x v="0"/>
    <n v="0"/>
    <n v="3"/>
    <n v="11"/>
    <x v="1"/>
  </r>
  <r>
    <n v="10862"/>
    <n v="1960"/>
    <x v="2"/>
    <s v="Married"/>
    <n v="30522"/>
    <n v="0"/>
    <n v="1"/>
    <d v="2012-08-17T00:00:00"/>
    <n v="6"/>
    <n v="179"/>
    <n v="8"/>
    <n v="83"/>
    <n v="19"/>
    <n v="11"/>
    <n v="26"/>
    <n v="5"/>
    <n v="1"/>
    <n v="2"/>
    <n v="9"/>
    <n v="2"/>
    <x v="0"/>
    <x v="0"/>
    <x v="0"/>
    <x v="0"/>
    <x v="0"/>
    <n v="0"/>
    <n v="3"/>
    <n v="11"/>
    <x v="1"/>
  </r>
  <r>
    <n v="2782"/>
    <n v="1961"/>
    <x v="1"/>
    <s v="Married"/>
    <n v="54456"/>
    <n v="0"/>
    <n v="1"/>
    <d v="2013-07-11T00:00:00"/>
    <n v="23"/>
    <n v="352"/>
    <n v="0"/>
    <n v="27"/>
    <n v="10"/>
    <n v="0"/>
    <n v="15"/>
    <n v="3"/>
    <n v="6"/>
    <n v="1"/>
    <n v="7"/>
    <n v="6"/>
    <x v="0"/>
    <x v="0"/>
    <x v="0"/>
    <x v="0"/>
    <x v="0"/>
    <n v="0"/>
    <n v="3"/>
    <n v="11"/>
    <x v="1"/>
  </r>
  <r>
    <n v="6941"/>
    <n v="1971"/>
    <x v="0"/>
    <s v="Single"/>
    <n v="31632"/>
    <n v="0"/>
    <n v="0"/>
    <d v="2013-07-14T00:00:00"/>
    <n v="92"/>
    <n v="17"/>
    <n v="8"/>
    <n v="12"/>
    <n v="11"/>
    <n v="15"/>
    <n v="32"/>
    <n v="1"/>
    <n v="2"/>
    <n v="1"/>
    <n v="2"/>
    <n v="7"/>
    <x v="0"/>
    <x v="0"/>
    <x v="0"/>
    <x v="0"/>
    <x v="0"/>
    <n v="0"/>
    <n v="3"/>
    <n v="11"/>
    <x v="1"/>
  </r>
  <r>
    <n v="10972"/>
    <n v="1949"/>
    <x v="0"/>
    <s v="Widow"/>
    <n v="72298"/>
    <n v="0"/>
    <n v="0"/>
    <d v="2014-03-10T00:00:00"/>
    <n v="52"/>
    <n v="625"/>
    <n v="35"/>
    <n v="169"/>
    <n v="58"/>
    <n v="17"/>
    <n v="35"/>
    <n v="1"/>
    <n v="4"/>
    <n v="3"/>
    <n v="6"/>
    <n v="1"/>
    <x v="0"/>
    <x v="1"/>
    <x v="1"/>
    <x v="0"/>
    <x v="0"/>
    <n v="0"/>
    <n v="3"/>
    <n v="11"/>
    <x v="1"/>
  </r>
  <r>
    <n v="10708"/>
    <n v="1978"/>
    <x v="4"/>
    <s v="Single"/>
    <n v="36975"/>
    <n v="1"/>
    <n v="0"/>
    <d v="2013-12-28T00:00:00"/>
    <n v="50"/>
    <n v="10"/>
    <n v="6"/>
    <n v="11"/>
    <n v="0"/>
    <n v="4"/>
    <n v="2"/>
    <n v="1"/>
    <n v="1"/>
    <n v="0"/>
    <n v="3"/>
    <n v="7"/>
    <x v="0"/>
    <x v="0"/>
    <x v="0"/>
    <x v="0"/>
    <x v="0"/>
    <n v="0"/>
    <n v="3"/>
    <n v="11"/>
    <x v="1"/>
  </r>
  <r>
    <n v="6583"/>
    <n v="1955"/>
    <x v="4"/>
    <s v="Married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x v="0"/>
    <x v="0"/>
    <x v="0"/>
    <x v="1"/>
    <x v="0"/>
    <n v="0"/>
    <n v="3"/>
    <n v="11"/>
    <x v="1"/>
  </r>
  <r>
    <n v="3641"/>
    <n v="1976"/>
    <x v="0"/>
    <s v="Married"/>
    <n v="13624"/>
    <n v="1"/>
    <n v="0"/>
    <d v="2013-01-20T00:00:00"/>
    <n v="93"/>
    <n v="10"/>
    <n v="2"/>
    <n v="15"/>
    <n v="2"/>
    <n v="1"/>
    <n v="6"/>
    <n v="2"/>
    <n v="2"/>
    <n v="0"/>
    <n v="3"/>
    <n v="6"/>
    <x v="0"/>
    <x v="0"/>
    <x v="0"/>
    <x v="0"/>
    <x v="0"/>
    <n v="0"/>
    <n v="3"/>
    <n v="11"/>
    <x v="1"/>
  </r>
  <r>
    <n v="10156"/>
    <n v="1975"/>
    <x v="0"/>
    <s v="Single"/>
    <n v="84196"/>
    <n v="0"/>
    <n v="1"/>
    <d v="2013-06-03T00:00:00"/>
    <n v="56"/>
    <n v="215"/>
    <n v="63"/>
    <n v="507"/>
    <n v="231"/>
    <n v="31"/>
    <n v="190"/>
    <n v="1"/>
    <n v="8"/>
    <n v="4"/>
    <n v="7"/>
    <n v="3"/>
    <x v="0"/>
    <x v="0"/>
    <x v="0"/>
    <x v="0"/>
    <x v="0"/>
    <n v="0"/>
    <n v="3"/>
    <n v="11"/>
    <x v="1"/>
  </r>
  <r>
    <n v="4299"/>
    <n v="1960"/>
    <x v="0"/>
    <s v="Together"/>
    <n v="70971"/>
    <n v="0"/>
    <n v="1"/>
    <d v="2012-09-21T00:00:00"/>
    <n v="28"/>
    <n v="1001"/>
    <n v="17"/>
    <n v="572"/>
    <n v="93"/>
    <n v="125"/>
    <n v="17"/>
    <n v="7"/>
    <n v="11"/>
    <n v="11"/>
    <n v="5"/>
    <n v="7"/>
    <x v="0"/>
    <x v="0"/>
    <x v="0"/>
    <x v="0"/>
    <x v="0"/>
    <n v="0"/>
    <n v="3"/>
    <n v="11"/>
    <x v="0"/>
  </r>
  <r>
    <n v="3469"/>
    <n v="1977"/>
    <x v="1"/>
    <s v="Divorced"/>
    <n v="34487"/>
    <n v="1"/>
    <n v="1"/>
    <d v="2012-09-06T00:00:00"/>
    <n v="94"/>
    <n v="19"/>
    <n v="18"/>
    <n v="33"/>
    <n v="24"/>
    <n v="1"/>
    <n v="8"/>
    <n v="3"/>
    <n v="3"/>
    <n v="0"/>
    <n v="3"/>
    <n v="9"/>
    <x v="0"/>
    <x v="0"/>
    <x v="0"/>
    <x v="0"/>
    <x v="0"/>
    <n v="0"/>
    <n v="3"/>
    <n v="11"/>
    <x v="1"/>
  </r>
  <r>
    <n v="5063"/>
    <n v="1977"/>
    <x v="0"/>
    <s v="Single"/>
    <n v="28769"/>
    <n v="1"/>
    <n v="0"/>
    <d v="2012-12-18T00:00:00"/>
    <n v="76"/>
    <n v="41"/>
    <n v="5"/>
    <n v="129"/>
    <n v="10"/>
    <n v="3"/>
    <n v="3"/>
    <n v="3"/>
    <n v="4"/>
    <n v="1"/>
    <n v="4"/>
    <n v="9"/>
    <x v="0"/>
    <x v="0"/>
    <x v="0"/>
    <x v="0"/>
    <x v="0"/>
    <n v="0"/>
    <n v="3"/>
    <n v="11"/>
    <x v="1"/>
  </r>
  <r>
    <n v="10727"/>
    <n v="1970"/>
    <x v="1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x v="0"/>
    <x v="0"/>
    <x v="0"/>
    <x v="0"/>
    <x v="0"/>
    <n v="0"/>
    <n v="3"/>
    <n v="11"/>
    <x v="1"/>
  </r>
  <r>
    <n v="9624"/>
    <n v="1958"/>
    <x v="1"/>
    <s v="Together"/>
    <n v="65488"/>
    <n v="0"/>
    <n v="0"/>
    <d v="2014-06-13T00:00:00"/>
    <n v="46"/>
    <n v="603"/>
    <n v="45"/>
    <n v="207"/>
    <n v="36"/>
    <n v="18"/>
    <n v="54"/>
    <n v="1"/>
    <n v="3"/>
    <n v="4"/>
    <n v="6"/>
    <n v="1"/>
    <x v="0"/>
    <x v="0"/>
    <x v="0"/>
    <x v="0"/>
    <x v="0"/>
    <n v="0"/>
    <n v="3"/>
    <n v="11"/>
    <x v="1"/>
  </r>
  <r>
    <n v="5156"/>
    <n v="1970"/>
    <x v="4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x v="0"/>
    <x v="0"/>
    <x v="0"/>
    <x v="0"/>
    <x v="0"/>
    <n v="0"/>
    <n v="3"/>
    <n v="11"/>
    <x v="1"/>
  </r>
  <r>
    <n v="4376"/>
    <n v="1960"/>
    <x v="4"/>
    <s v="Single"/>
    <n v="32218"/>
    <n v="0"/>
    <n v="0"/>
    <d v="2014-02-15T00:00:00"/>
    <n v="27"/>
    <n v="10"/>
    <n v="24"/>
    <n v="15"/>
    <n v="13"/>
    <n v="1"/>
    <n v="30"/>
    <n v="1"/>
    <n v="2"/>
    <n v="1"/>
    <n v="3"/>
    <n v="7"/>
    <x v="1"/>
    <x v="0"/>
    <x v="0"/>
    <x v="0"/>
    <x v="0"/>
    <n v="0"/>
    <n v="3"/>
    <n v="11"/>
    <x v="0"/>
  </r>
  <r>
    <n v="8923"/>
    <n v="1973"/>
    <x v="0"/>
    <s v="Single"/>
    <n v="83917"/>
    <n v="0"/>
    <n v="0"/>
    <d v="2013-04-18T00:00:00"/>
    <n v="12"/>
    <n v="514"/>
    <n v="22"/>
    <n v="732"/>
    <n v="42"/>
    <n v="198"/>
    <n v="79"/>
    <n v="1"/>
    <n v="6"/>
    <n v="7"/>
    <n v="7"/>
    <n v="3"/>
    <x v="0"/>
    <x v="0"/>
    <x v="0"/>
    <x v="0"/>
    <x v="0"/>
    <n v="0"/>
    <n v="3"/>
    <n v="11"/>
    <x v="0"/>
  </r>
  <r>
    <n v="8461"/>
    <n v="1962"/>
    <x v="0"/>
    <s v="Divorced"/>
    <n v="46102"/>
    <n v="2"/>
    <n v="1"/>
    <d v="2014-03-10T00:00:00"/>
    <n v="3"/>
    <n v="14"/>
    <n v="0"/>
    <n v="1"/>
    <n v="0"/>
    <n v="0"/>
    <n v="1"/>
    <n v="1"/>
    <n v="1"/>
    <n v="0"/>
    <n v="2"/>
    <n v="7"/>
    <x v="0"/>
    <x v="0"/>
    <x v="0"/>
    <x v="0"/>
    <x v="0"/>
    <n v="0"/>
    <n v="3"/>
    <n v="11"/>
    <x v="1"/>
  </r>
  <r>
    <n v="6945"/>
    <n v="1952"/>
    <x v="0"/>
    <s v="Single"/>
    <n v="84574"/>
    <n v="0"/>
    <n v="0"/>
    <d v="2013-06-04T00:00:00"/>
    <n v="72"/>
    <n v="387"/>
    <n v="20"/>
    <n v="713"/>
    <n v="38"/>
    <n v="54"/>
    <n v="163"/>
    <n v="1"/>
    <n v="9"/>
    <n v="11"/>
    <n v="11"/>
    <n v="5"/>
    <x v="0"/>
    <x v="0"/>
    <x v="0"/>
    <x v="0"/>
    <x v="0"/>
    <n v="0"/>
    <n v="3"/>
    <n v="11"/>
    <x v="1"/>
  </r>
  <r>
    <n v="944"/>
    <n v="1962"/>
    <x v="0"/>
    <s v="Married"/>
    <n v="56181"/>
    <n v="0"/>
    <n v="1"/>
    <d v="2013-01-08T00:00:00"/>
    <n v="6"/>
    <n v="121"/>
    <n v="103"/>
    <n v="69"/>
    <n v="8"/>
    <n v="44"/>
    <n v="48"/>
    <n v="1"/>
    <n v="4"/>
    <n v="2"/>
    <n v="7"/>
    <n v="4"/>
    <x v="0"/>
    <x v="0"/>
    <x v="0"/>
    <x v="0"/>
    <x v="0"/>
    <n v="0"/>
    <n v="3"/>
    <n v="11"/>
    <x v="1"/>
  </r>
  <r>
    <n v="1907"/>
    <n v="1950"/>
    <x v="2"/>
    <s v="Divorced"/>
    <n v="63120"/>
    <n v="0"/>
    <n v="1"/>
    <d v="2012-09-28T00:00:00"/>
    <n v="53"/>
    <n v="965"/>
    <n v="69"/>
    <n v="279"/>
    <n v="54"/>
    <n v="41"/>
    <n v="69"/>
    <n v="5"/>
    <n v="8"/>
    <n v="4"/>
    <n v="9"/>
    <n v="7"/>
    <x v="0"/>
    <x v="0"/>
    <x v="0"/>
    <x v="0"/>
    <x v="0"/>
    <n v="0"/>
    <n v="3"/>
    <n v="11"/>
    <x v="0"/>
  </r>
  <r>
    <n v="701"/>
    <n v="1971"/>
    <x v="0"/>
    <s v="Married"/>
    <n v="73691"/>
    <n v="0"/>
    <n v="1"/>
    <d v="2013-11-06T00:00:00"/>
    <n v="58"/>
    <n v="707"/>
    <n v="21"/>
    <n v="250"/>
    <n v="85"/>
    <n v="43"/>
    <n v="73"/>
    <n v="2"/>
    <n v="6"/>
    <n v="2"/>
    <n v="8"/>
    <n v="2"/>
    <x v="1"/>
    <x v="0"/>
    <x v="0"/>
    <x v="0"/>
    <x v="0"/>
    <n v="0"/>
    <n v="3"/>
    <n v="11"/>
    <x v="1"/>
  </r>
  <r>
    <n v="3856"/>
    <n v="1960"/>
    <x v="0"/>
    <s v="Together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x v="0"/>
    <x v="0"/>
    <x v="0"/>
    <x v="0"/>
    <x v="0"/>
    <n v="0"/>
    <n v="3"/>
    <n v="11"/>
    <x v="1"/>
  </r>
  <r>
    <n v="4149"/>
    <n v="1948"/>
    <x v="1"/>
    <s v="Together"/>
    <n v="76140"/>
    <n v="0"/>
    <n v="0"/>
    <d v="2014-05-13T00:00:00"/>
    <n v="57"/>
    <n v="586"/>
    <n v="66"/>
    <n v="653"/>
    <n v="17"/>
    <n v="0"/>
    <n v="26"/>
    <n v="1"/>
    <n v="5"/>
    <n v="9"/>
    <n v="6"/>
    <n v="2"/>
    <x v="0"/>
    <x v="0"/>
    <x v="0"/>
    <x v="0"/>
    <x v="0"/>
    <n v="0"/>
    <n v="3"/>
    <n v="11"/>
    <x v="1"/>
  </r>
  <r>
    <n v="2131"/>
    <n v="1959"/>
    <x v="1"/>
    <s v="Divorced"/>
    <n v="62859"/>
    <n v="0"/>
    <n v="1"/>
    <d v="2012-12-30T00:00:00"/>
    <n v="37"/>
    <n v="1063"/>
    <n v="89"/>
    <n v="102"/>
    <n v="16"/>
    <n v="12"/>
    <n v="25"/>
    <n v="4"/>
    <n v="9"/>
    <n v="4"/>
    <n v="6"/>
    <n v="6"/>
    <x v="0"/>
    <x v="0"/>
    <x v="0"/>
    <x v="0"/>
    <x v="0"/>
    <n v="0"/>
    <n v="3"/>
    <n v="11"/>
    <x v="1"/>
  </r>
  <r>
    <n v="2942"/>
    <n v="1964"/>
    <x v="0"/>
    <s v="Single"/>
    <n v="45906"/>
    <n v="0"/>
    <n v="1"/>
    <d v="2013-05-07T00:00:00"/>
    <n v="20"/>
    <n v="305"/>
    <n v="3"/>
    <n v="27"/>
    <n v="4"/>
    <n v="3"/>
    <n v="144"/>
    <n v="2"/>
    <n v="5"/>
    <n v="4"/>
    <n v="4"/>
    <n v="5"/>
    <x v="1"/>
    <x v="0"/>
    <x v="0"/>
    <x v="0"/>
    <x v="0"/>
    <n v="0"/>
    <n v="3"/>
    <n v="11"/>
    <x v="1"/>
  </r>
  <r>
    <n v="1173"/>
    <n v="1947"/>
    <x v="2"/>
    <s v="Together"/>
    <n v="77632"/>
    <n v="0"/>
    <n v="0"/>
    <d v="2013-03-10T00:00:00"/>
    <n v="73"/>
    <n v="1200"/>
    <n v="105"/>
    <n v="758"/>
    <n v="0"/>
    <n v="42"/>
    <n v="147"/>
    <n v="1"/>
    <n v="4"/>
    <n v="2"/>
    <n v="6"/>
    <n v="2"/>
    <x v="0"/>
    <x v="1"/>
    <x v="1"/>
    <x v="0"/>
    <x v="0"/>
    <n v="0"/>
    <n v="3"/>
    <n v="11"/>
    <x v="0"/>
  </r>
  <r>
    <n v="4381"/>
    <n v="1971"/>
    <x v="1"/>
    <s v="Married"/>
    <n v="46463"/>
    <n v="1"/>
    <n v="1"/>
    <d v="2013-08-18T00:00:00"/>
    <n v="56"/>
    <n v="163"/>
    <n v="2"/>
    <n v="40"/>
    <n v="8"/>
    <n v="11"/>
    <n v="11"/>
    <n v="7"/>
    <n v="3"/>
    <n v="1"/>
    <n v="6"/>
    <n v="6"/>
    <x v="0"/>
    <x v="0"/>
    <x v="0"/>
    <x v="0"/>
    <x v="0"/>
    <n v="0"/>
    <n v="3"/>
    <n v="11"/>
    <x v="1"/>
  </r>
  <r>
    <n v="4611"/>
    <n v="1970"/>
    <x v="0"/>
    <s v="Together"/>
    <n v="105471"/>
    <n v="0"/>
    <n v="0"/>
    <d v="2013-01-21T00:00:00"/>
    <n v="36"/>
    <n v="1009"/>
    <n v="181"/>
    <n v="104"/>
    <n v="202"/>
    <n v="21"/>
    <n v="207"/>
    <n v="0"/>
    <n v="9"/>
    <n v="8"/>
    <n v="13"/>
    <n v="3"/>
    <x v="0"/>
    <x v="0"/>
    <x v="1"/>
    <x v="1"/>
    <x v="0"/>
    <n v="0"/>
    <n v="3"/>
    <n v="11"/>
    <x v="0"/>
  </r>
  <r>
    <n v="3376"/>
    <n v="1970"/>
    <x v="2"/>
    <s v="Divorced"/>
    <n v="55282"/>
    <n v="1"/>
    <n v="0"/>
    <d v="2013-12-13T00:00:00"/>
    <n v="9"/>
    <n v="125"/>
    <n v="6"/>
    <n v="73"/>
    <n v="8"/>
    <n v="4"/>
    <n v="19"/>
    <n v="1"/>
    <n v="3"/>
    <n v="1"/>
    <n v="6"/>
    <n v="4"/>
    <x v="0"/>
    <x v="0"/>
    <x v="0"/>
    <x v="0"/>
    <x v="0"/>
    <n v="0"/>
    <n v="3"/>
    <n v="11"/>
    <x v="1"/>
  </r>
  <r>
    <n v="4679"/>
    <n v="1977"/>
    <x v="2"/>
    <s v="Married"/>
    <n v="78710"/>
    <n v="0"/>
    <n v="1"/>
    <d v="2014-05-23T00:00:00"/>
    <n v="42"/>
    <n v="721"/>
    <n v="0"/>
    <n v="152"/>
    <n v="119"/>
    <n v="50"/>
    <n v="50"/>
    <n v="3"/>
    <n v="7"/>
    <n v="6"/>
    <n v="12"/>
    <n v="4"/>
    <x v="0"/>
    <x v="0"/>
    <x v="0"/>
    <x v="0"/>
    <x v="0"/>
    <n v="0"/>
    <n v="3"/>
    <n v="11"/>
    <x v="1"/>
  </r>
  <r>
    <n v="10928"/>
    <n v="1958"/>
    <x v="0"/>
    <s v="Together"/>
    <n v="66886"/>
    <n v="0"/>
    <n v="1"/>
    <d v="2013-09-16T00:00:00"/>
    <n v="28"/>
    <n v="315"/>
    <n v="4"/>
    <n v="62"/>
    <n v="41"/>
    <n v="31"/>
    <n v="146"/>
    <n v="2"/>
    <n v="7"/>
    <n v="1"/>
    <n v="7"/>
    <n v="5"/>
    <x v="0"/>
    <x v="0"/>
    <x v="0"/>
    <x v="0"/>
    <x v="0"/>
    <n v="0"/>
    <n v="3"/>
    <n v="11"/>
    <x v="1"/>
  </r>
  <r>
    <n v="4248"/>
    <n v="1960"/>
    <x v="2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x v="0"/>
    <x v="1"/>
    <x v="0"/>
    <x v="0"/>
    <x v="0"/>
    <n v="0"/>
    <n v="3"/>
    <n v="11"/>
    <x v="1"/>
  </r>
  <r>
    <n v="6728"/>
    <n v="1985"/>
    <x v="0"/>
    <s v="Together"/>
    <n v="29103"/>
    <n v="1"/>
    <n v="0"/>
    <d v="2012-08-27T00:00:00"/>
    <n v="38"/>
    <n v="16"/>
    <n v="0"/>
    <n v="17"/>
    <n v="6"/>
    <n v="3"/>
    <n v="6"/>
    <n v="2"/>
    <n v="1"/>
    <n v="0"/>
    <n v="3"/>
    <n v="9"/>
    <x v="0"/>
    <x v="0"/>
    <x v="0"/>
    <x v="0"/>
    <x v="0"/>
    <n v="0"/>
    <n v="3"/>
    <n v="11"/>
    <x v="1"/>
  </r>
  <r>
    <n v="6661"/>
    <n v="1974"/>
    <x v="0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x v="0"/>
    <x v="0"/>
    <x v="0"/>
    <x v="0"/>
    <x v="0"/>
    <n v="0"/>
    <n v="3"/>
    <n v="11"/>
    <x v="1"/>
  </r>
  <r>
    <n v="4725"/>
    <n v="1950"/>
    <x v="1"/>
    <s v="Together"/>
    <n v="50616"/>
    <n v="0"/>
    <n v="1"/>
    <d v="2014-04-13T00:00:00"/>
    <n v="71"/>
    <n v="30"/>
    <n v="2"/>
    <n v="25"/>
    <n v="0"/>
    <n v="1"/>
    <n v="9"/>
    <n v="1"/>
    <n v="1"/>
    <n v="1"/>
    <n v="4"/>
    <n v="2"/>
    <x v="0"/>
    <x v="0"/>
    <x v="0"/>
    <x v="0"/>
    <x v="0"/>
    <n v="0"/>
    <n v="3"/>
    <n v="11"/>
    <x v="1"/>
  </r>
  <r>
    <n v="3277"/>
    <n v="1955"/>
    <x v="0"/>
    <s v="Divorced"/>
    <n v="49431"/>
    <n v="0"/>
    <n v="1"/>
    <d v="2012-08-03T00:00:00"/>
    <n v="9"/>
    <n v="219"/>
    <n v="3"/>
    <n v="100"/>
    <n v="26"/>
    <n v="0"/>
    <n v="17"/>
    <n v="2"/>
    <n v="7"/>
    <n v="1"/>
    <n v="5"/>
    <n v="8"/>
    <x v="0"/>
    <x v="0"/>
    <x v="0"/>
    <x v="0"/>
    <x v="0"/>
    <n v="0"/>
    <n v="3"/>
    <n v="11"/>
    <x v="1"/>
  </r>
  <r>
    <n v="5555"/>
    <n v="1975"/>
    <x v="0"/>
    <s v="Divorced"/>
    <n v="153924"/>
    <n v="0"/>
    <n v="0"/>
    <d v="2014-02-07T00:00:00"/>
    <n v="81"/>
    <n v="1"/>
    <n v="1"/>
    <n v="1"/>
    <n v="1"/>
    <n v="1"/>
    <n v="1"/>
    <n v="0"/>
    <n v="0"/>
    <n v="0"/>
    <n v="0"/>
    <n v="0"/>
    <x v="0"/>
    <x v="0"/>
    <x v="0"/>
    <x v="0"/>
    <x v="0"/>
    <n v="0"/>
    <n v="3"/>
    <n v="11"/>
    <x v="1"/>
  </r>
  <r>
    <n v="2564"/>
    <n v="1953"/>
    <x v="0"/>
    <s v="Together"/>
    <n v="61278"/>
    <n v="0"/>
    <n v="1"/>
    <d v="2014-01-04T00:00:00"/>
    <n v="87"/>
    <n v="111"/>
    <n v="3"/>
    <n v="28"/>
    <n v="2"/>
    <n v="6"/>
    <n v="15"/>
    <n v="2"/>
    <n v="3"/>
    <n v="1"/>
    <n v="4"/>
    <n v="6"/>
    <x v="0"/>
    <x v="0"/>
    <x v="0"/>
    <x v="0"/>
    <x v="0"/>
    <n v="0"/>
    <n v="3"/>
    <n v="11"/>
    <x v="1"/>
  </r>
  <r>
    <n v="946"/>
    <n v="1958"/>
    <x v="4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x v="0"/>
    <x v="0"/>
    <x v="0"/>
    <x v="0"/>
    <x v="0"/>
    <n v="0"/>
    <n v="3"/>
    <n v="11"/>
    <x v="1"/>
  </r>
  <r>
    <n v="3867"/>
    <n v="1947"/>
    <x v="1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x v="0"/>
    <x v="0"/>
    <x v="0"/>
    <x v="0"/>
    <x v="0"/>
    <n v="0"/>
    <n v="3"/>
    <n v="11"/>
    <x v="1"/>
  </r>
  <r>
    <n v="6940"/>
    <n v="1966"/>
    <x v="1"/>
    <s v="Single"/>
    <n v="46734"/>
    <n v="1"/>
    <n v="2"/>
    <d v="2013-10-21T00:00:00"/>
    <n v="86"/>
    <n v="100"/>
    <n v="1"/>
    <n v="39"/>
    <n v="6"/>
    <n v="1"/>
    <n v="76"/>
    <n v="4"/>
    <n v="3"/>
    <n v="2"/>
    <n v="3"/>
    <n v="6"/>
    <x v="1"/>
    <x v="0"/>
    <x v="0"/>
    <x v="0"/>
    <x v="0"/>
    <n v="0"/>
    <n v="3"/>
    <n v="11"/>
    <x v="1"/>
  </r>
  <r>
    <n v="55"/>
    <n v="1963"/>
    <x v="0"/>
    <s v="Together"/>
    <n v="56253"/>
    <n v="0"/>
    <n v="1"/>
    <d v="2012-12-07T00:00:00"/>
    <n v="83"/>
    <n v="509"/>
    <n v="0"/>
    <n v="65"/>
    <n v="7"/>
    <n v="11"/>
    <n v="5"/>
    <n v="4"/>
    <n v="7"/>
    <n v="2"/>
    <n v="9"/>
    <n v="6"/>
    <x v="0"/>
    <x v="0"/>
    <x v="0"/>
    <x v="0"/>
    <x v="0"/>
    <n v="0"/>
    <n v="3"/>
    <n v="11"/>
    <x v="1"/>
  </r>
  <r>
    <n v="7093"/>
    <n v="1985"/>
    <x v="0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x v="0"/>
    <x v="0"/>
    <x v="0"/>
    <x v="0"/>
    <x v="0"/>
    <n v="0"/>
    <n v="3"/>
    <n v="11"/>
    <x v="1"/>
  </r>
  <r>
    <n v="5084"/>
    <n v="1975"/>
    <x v="0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x v="0"/>
    <x v="0"/>
    <x v="0"/>
    <x v="0"/>
    <x v="0"/>
    <n v="0"/>
    <n v="3"/>
    <n v="11"/>
    <x v="1"/>
  </r>
  <r>
    <n v="1777"/>
    <n v="1980"/>
    <x v="3"/>
    <s v="Married"/>
    <n v="25965"/>
    <n v="0"/>
    <n v="0"/>
    <d v="2012-09-07T00:00:00"/>
    <n v="29"/>
    <n v="2"/>
    <n v="2"/>
    <n v="11"/>
    <n v="41"/>
    <n v="7"/>
    <n v="11"/>
    <n v="1"/>
    <n v="2"/>
    <n v="0"/>
    <n v="3"/>
    <n v="8"/>
    <x v="0"/>
    <x v="0"/>
    <x v="0"/>
    <x v="0"/>
    <x v="0"/>
    <n v="0"/>
    <n v="3"/>
    <n v="11"/>
    <x v="1"/>
  </r>
  <r>
    <n v="8162"/>
    <n v="1956"/>
    <x v="2"/>
    <s v="Together"/>
    <n v="14661"/>
    <n v="0"/>
    <n v="0"/>
    <d v="2013-01-01T00:00:00"/>
    <n v="88"/>
    <n v="4"/>
    <n v="1"/>
    <n v="11"/>
    <n v="6"/>
    <n v="2"/>
    <n v="2"/>
    <n v="1"/>
    <n v="1"/>
    <n v="0"/>
    <n v="3"/>
    <n v="6"/>
    <x v="0"/>
    <x v="0"/>
    <x v="0"/>
    <x v="0"/>
    <x v="0"/>
    <n v="0"/>
    <n v="3"/>
    <n v="11"/>
    <x v="1"/>
  </r>
  <r>
    <n v="10826"/>
    <n v="1959"/>
    <x v="0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x v="0"/>
    <x v="0"/>
    <x v="0"/>
    <x v="0"/>
    <x v="0"/>
    <n v="0"/>
    <n v="3"/>
    <n v="11"/>
    <x v="1"/>
  </r>
  <r>
    <n v="8754"/>
    <n v="1974"/>
    <x v="1"/>
    <s v="Together"/>
    <n v="45068"/>
    <n v="0"/>
    <n v="1"/>
    <d v="2013-05-16T00:00:00"/>
    <n v="25"/>
    <n v="14"/>
    <n v="0"/>
    <n v="3"/>
    <n v="0"/>
    <n v="0"/>
    <n v="3"/>
    <n v="1"/>
    <n v="1"/>
    <n v="0"/>
    <n v="2"/>
    <n v="7"/>
    <x v="0"/>
    <x v="0"/>
    <x v="0"/>
    <x v="0"/>
    <x v="0"/>
    <n v="0"/>
    <n v="3"/>
    <n v="11"/>
    <x v="1"/>
  </r>
  <r>
    <n v="1987"/>
    <n v="1987"/>
    <x v="3"/>
    <s v="Single"/>
    <n v="21063"/>
    <n v="1"/>
    <n v="0"/>
    <d v="2013-09-25T00:00:00"/>
    <n v="34"/>
    <n v="1"/>
    <n v="10"/>
    <n v="11"/>
    <n v="19"/>
    <n v="3"/>
    <n v="15"/>
    <n v="2"/>
    <n v="2"/>
    <n v="0"/>
    <n v="3"/>
    <n v="6"/>
    <x v="0"/>
    <x v="0"/>
    <x v="0"/>
    <x v="0"/>
    <x v="0"/>
    <n v="0"/>
    <n v="3"/>
    <n v="11"/>
    <x v="1"/>
  </r>
  <r>
    <n v="11007"/>
    <n v="1968"/>
    <x v="1"/>
    <s v="Married"/>
    <n v="29187"/>
    <n v="1"/>
    <n v="0"/>
    <d v="2013-05-09T00:00:00"/>
    <n v="43"/>
    <n v="26"/>
    <n v="0"/>
    <n v="6"/>
    <n v="0"/>
    <n v="0"/>
    <n v="2"/>
    <n v="1"/>
    <n v="1"/>
    <n v="0"/>
    <n v="3"/>
    <n v="8"/>
    <x v="0"/>
    <x v="0"/>
    <x v="0"/>
    <x v="0"/>
    <x v="0"/>
    <n v="0"/>
    <n v="3"/>
    <n v="11"/>
    <x v="1"/>
  </r>
  <r>
    <n v="7426"/>
    <n v="1971"/>
    <x v="4"/>
    <s v="Married"/>
    <n v="54690"/>
    <n v="1"/>
    <n v="1"/>
    <d v="2013-11-07T00:00:00"/>
    <n v="76"/>
    <n v="111"/>
    <n v="16"/>
    <n v="37"/>
    <n v="7"/>
    <n v="9"/>
    <n v="18"/>
    <n v="3"/>
    <n v="3"/>
    <n v="1"/>
    <n v="5"/>
    <n v="3"/>
    <x v="0"/>
    <x v="0"/>
    <x v="0"/>
    <x v="0"/>
    <x v="0"/>
    <n v="0"/>
    <n v="3"/>
    <n v="11"/>
    <x v="1"/>
  </r>
  <r>
    <n v="9153"/>
    <n v="1964"/>
    <x v="1"/>
    <s v="Married"/>
    <n v="59304"/>
    <n v="0"/>
    <n v="1"/>
    <d v="2013-07-29T00:00:00"/>
    <n v="81"/>
    <n v="418"/>
    <n v="61"/>
    <n v="428"/>
    <n v="80"/>
    <n v="51"/>
    <n v="10"/>
    <n v="3"/>
    <n v="7"/>
    <n v="8"/>
    <n v="10"/>
    <n v="5"/>
    <x v="0"/>
    <x v="0"/>
    <x v="0"/>
    <x v="0"/>
    <x v="0"/>
    <n v="0"/>
    <n v="3"/>
    <n v="11"/>
    <x v="1"/>
  </r>
  <r>
    <n v="10379"/>
    <n v="1962"/>
    <x v="2"/>
    <s v="Single"/>
    <n v="59247"/>
    <n v="0"/>
    <n v="2"/>
    <d v="2013-11-08T00:00:00"/>
    <n v="87"/>
    <n v="327"/>
    <n v="9"/>
    <n v="122"/>
    <n v="19"/>
    <n v="14"/>
    <n v="83"/>
    <n v="5"/>
    <n v="5"/>
    <n v="2"/>
    <n v="9"/>
    <n v="6"/>
    <x v="0"/>
    <x v="0"/>
    <x v="0"/>
    <x v="0"/>
    <x v="0"/>
    <n v="0"/>
    <n v="3"/>
    <n v="11"/>
    <x v="1"/>
  </r>
  <r>
    <n v="9204"/>
    <n v="1970"/>
    <x v="0"/>
    <s v="Widow"/>
    <n v="66731"/>
    <n v="0"/>
    <n v="1"/>
    <d v="2012-09-12T00:00:00"/>
    <n v="33"/>
    <n v="371"/>
    <n v="159"/>
    <n v="194"/>
    <n v="58"/>
    <n v="106"/>
    <n v="141"/>
    <n v="4"/>
    <n v="4"/>
    <n v="3"/>
    <n v="6"/>
    <n v="3"/>
    <x v="0"/>
    <x v="0"/>
    <x v="0"/>
    <x v="0"/>
    <x v="0"/>
    <n v="0"/>
    <n v="3"/>
    <n v="11"/>
    <x v="1"/>
  </r>
  <r>
    <n v="3197"/>
    <n v="1980"/>
    <x v="0"/>
    <s v="Married"/>
    <n v="77353"/>
    <n v="0"/>
    <n v="1"/>
    <d v="2013-12-16T00:00:00"/>
    <n v="38"/>
    <n v="275"/>
    <n v="59"/>
    <n v="107"/>
    <n v="69"/>
    <n v="101"/>
    <n v="59"/>
    <n v="2"/>
    <n v="6"/>
    <n v="4"/>
    <n v="8"/>
    <n v="4"/>
    <x v="0"/>
    <x v="0"/>
    <x v="0"/>
    <x v="0"/>
    <x v="0"/>
    <n v="0"/>
    <n v="3"/>
    <n v="11"/>
    <x v="1"/>
  </r>
  <r>
    <n v="2920"/>
    <n v="1975"/>
    <x v="1"/>
    <s v="Single"/>
    <n v="52614"/>
    <n v="0"/>
    <n v="1"/>
    <d v="2012-12-01T00:00:00"/>
    <n v="63"/>
    <n v="789"/>
    <n v="0"/>
    <n v="142"/>
    <n v="12"/>
    <n v="9"/>
    <n v="38"/>
    <n v="2"/>
    <n v="2"/>
    <n v="4"/>
    <n v="8"/>
    <n v="8"/>
    <x v="0"/>
    <x v="0"/>
    <x v="0"/>
    <x v="0"/>
    <x v="0"/>
    <n v="0"/>
    <n v="3"/>
    <n v="11"/>
    <x v="1"/>
  </r>
  <r>
    <n v="6961"/>
    <n v="1974"/>
    <x v="0"/>
    <s v="Married"/>
    <n v="26751"/>
    <n v="2"/>
    <n v="0"/>
    <d v="2014-05-22T00:00:00"/>
    <n v="26"/>
    <n v="1"/>
    <n v="1"/>
    <n v="5"/>
    <n v="0"/>
    <n v="3"/>
    <n v="1"/>
    <n v="1"/>
    <n v="1"/>
    <n v="0"/>
    <n v="2"/>
    <n v="8"/>
    <x v="0"/>
    <x v="0"/>
    <x v="0"/>
    <x v="0"/>
    <x v="0"/>
    <n v="0"/>
    <n v="3"/>
    <n v="11"/>
    <x v="1"/>
  </r>
  <r>
    <n v="4673"/>
    <n v="1963"/>
    <x v="1"/>
    <s v="Married"/>
    <n v="81300"/>
    <n v="0"/>
    <n v="1"/>
    <d v="2012-10-30T00:00:00"/>
    <n v="17"/>
    <n v="1004"/>
    <n v="12"/>
    <n v="145"/>
    <n v="32"/>
    <n v="12"/>
    <n v="36"/>
    <n v="3"/>
    <n v="10"/>
    <n v="3"/>
    <n v="5"/>
    <n v="5"/>
    <x v="0"/>
    <x v="0"/>
    <x v="0"/>
    <x v="1"/>
    <x v="0"/>
    <n v="0"/>
    <n v="3"/>
    <n v="11"/>
    <x v="0"/>
  </r>
  <r>
    <n v="9937"/>
    <n v="1979"/>
    <x v="0"/>
    <s v="Single"/>
    <n v="70337"/>
    <n v="0"/>
    <n v="0"/>
    <d v="2014-01-02T00:00:00"/>
    <n v="75"/>
    <n v="187"/>
    <n v="81"/>
    <n v="149"/>
    <n v="25"/>
    <n v="43"/>
    <n v="91"/>
    <n v="1"/>
    <n v="2"/>
    <n v="2"/>
    <n v="12"/>
    <n v="1"/>
    <x v="0"/>
    <x v="0"/>
    <x v="0"/>
    <x v="0"/>
    <x v="0"/>
    <n v="0"/>
    <n v="3"/>
    <n v="11"/>
    <x v="1"/>
  </r>
  <r>
    <n v="8779"/>
    <n v="1985"/>
    <x v="4"/>
    <s v="Married"/>
    <n v="36145"/>
    <n v="1"/>
    <n v="0"/>
    <d v="2013-06-16T00:00:00"/>
    <n v="13"/>
    <n v="56"/>
    <n v="4"/>
    <n v="76"/>
    <n v="17"/>
    <n v="1"/>
    <n v="18"/>
    <n v="4"/>
    <n v="4"/>
    <n v="1"/>
    <n v="3"/>
    <n v="9"/>
    <x v="1"/>
    <x v="0"/>
    <x v="0"/>
    <x v="0"/>
    <x v="0"/>
    <n v="0"/>
    <n v="3"/>
    <n v="11"/>
    <x v="0"/>
  </r>
  <r>
    <n v="9596"/>
    <n v="1980"/>
    <x v="1"/>
    <s v="Single"/>
    <n v="65295"/>
    <n v="0"/>
    <n v="0"/>
    <d v="2013-12-23T00:00:00"/>
    <n v="19"/>
    <n v="365"/>
    <n v="32"/>
    <n v="117"/>
    <n v="34"/>
    <n v="110"/>
    <n v="6"/>
    <n v="1"/>
    <n v="3"/>
    <n v="3"/>
    <n v="13"/>
    <n v="2"/>
    <x v="0"/>
    <x v="0"/>
    <x v="0"/>
    <x v="0"/>
    <x v="0"/>
    <n v="0"/>
    <n v="3"/>
    <n v="11"/>
    <x v="1"/>
  </r>
  <r>
    <n v="2891"/>
    <n v="1963"/>
    <x v="0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x v="0"/>
    <x v="0"/>
    <x v="0"/>
    <x v="0"/>
    <x v="0"/>
    <n v="0"/>
    <n v="3"/>
    <n v="11"/>
    <x v="1"/>
  </r>
  <r>
    <n v="4910"/>
    <n v="1967"/>
    <x v="0"/>
    <s v="Divorced"/>
    <n v="68743"/>
    <n v="0"/>
    <n v="0"/>
    <d v="2012-08-30T00:00:00"/>
    <n v="81"/>
    <n v="1132"/>
    <n v="134"/>
    <n v="384"/>
    <n v="175"/>
    <n v="134"/>
    <n v="115"/>
    <n v="1"/>
    <n v="11"/>
    <n v="5"/>
    <n v="13"/>
    <n v="7"/>
    <x v="0"/>
    <x v="0"/>
    <x v="0"/>
    <x v="0"/>
    <x v="0"/>
    <n v="0"/>
    <n v="3"/>
    <n v="11"/>
    <x v="1"/>
  </r>
  <r>
    <n v="75"/>
    <n v="1982"/>
    <x v="4"/>
    <s v="Together"/>
    <n v="41039"/>
    <n v="0"/>
    <n v="0"/>
    <d v="2013-07-25T00:00:00"/>
    <n v="32"/>
    <n v="34"/>
    <n v="11"/>
    <n v="137"/>
    <n v="179"/>
    <n v="61"/>
    <n v="45"/>
    <n v="1"/>
    <n v="8"/>
    <n v="1"/>
    <n v="5"/>
    <n v="8"/>
    <x v="0"/>
    <x v="0"/>
    <x v="0"/>
    <x v="0"/>
    <x v="0"/>
    <n v="0"/>
    <n v="3"/>
    <n v="11"/>
    <x v="1"/>
  </r>
  <r>
    <n v="10120"/>
    <n v="1955"/>
    <x v="0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x v="0"/>
    <x v="0"/>
    <x v="0"/>
    <x v="0"/>
    <x v="0"/>
    <n v="0"/>
    <n v="3"/>
    <n v="11"/>
    <x v="1"/>
  </r>
  <r>
    <n v="6327"/>
    <n v="1967"/>
    <x v="0"/>
    <s v="Together"/>
    <n v="65777"/>
    <n v="0"/>
    <n v="0"/>
    <d v="2013-12-19T00:00:00"/>
    <n v="87"/>
    <n v="565"/>
    <n v="32"/>
    <n v="435"/>
    <n v="28"/>
    <n v="32"/>
    <n v="54"/>
    <n v="1"/>
    <n v="2"/>
    <n v="8"/>
    <n v="6"/>
    <n v="1"/>
    <x v="0"/>
    <x v="0"/>
    <x v="0"/>
    <x v="0"/>
    <x v="0"/>
    <n v="0"/>
    <n v="3"/>
    <n v="11"/>
    <x v="1"/>
  </r>
  <r>
    <n v="10142"/>
    <n v="1976"/>
    <x v="1"/>
    <s v="Divorced"/>
    <n v="66476"/>
    <n v="0"/>
    <n v="1"/>
    <d v="2013-03-07T00:00:00"/>
    <n v="99"/>
    <n v="372"/>
    <n v="18"/>
    <n v="126"/>
    <n v="47"/>
    <n v="48"/>
    <n v="78"/>
    <n v="2"/>
    <n v="5"/>
    <n v="2"/>
    <n v="11"/>
    <n v="4"/>
    <x v="0"/>
    <x v="0"/>
    <x v="0"/>
    <x v="0"/>
    <x v="0"/>
    <n v="0"/>
    <n v="3"/>
    <n v="11"/>
    <x v="1"/>
  </r>
  <r>
    <n v="9826"/>
    <n v="1972"/>
    <x v="1"/>
    <s v="Single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x v="0"/>
    <x v="0"/>
    <x v="0"/>
    <x v="0"/>
    <x v="0"/>
    <n v="0"/>
    <n v="3"/>
    <n v="11"/>
    <x v="0"/>
  </r>
  <r>
    <n v="1501"/>
    <n v="1982"/>
    <x v="1"/>
    <s v="Married"/>
    <n v="160803"/>
    <n v="0"/>
    <n v="0"/>
    <d v="2012-08-04T00:00:00"/>
    <n v="21"/>
    <n v="55"/>
    <n v="16"/>
    <n v="1622"/>
    <n v="17"/>
    <n v="3"/>
    <n v="4"/>
    <n v="15"/>
    <n v="0"/>
    <n v="28"/>
    <n v="1"/>
    <n v="0"/>
    <x v="0"/>
    <x v="0"/>
    <x v="0"/>
    <x v="0"/>
    <x v="0"/>
    <n v="0"/>
    <n v="3"/>
    <n v="11"/>
    <x v="1"/>
  </r>
  <r>
    <n v="10767"/>
    <n v="1989"/>
    <x v="1"/>
    <s v="Together"/>
    <n v="77845"/>
    <n v="0"/>
    <n v="0"/>
    <d v="2014-05-16T00:00:00"/>
    <n v="40"/>
    <n v="760"/>
    <n v="40"/>
    <n v="480"/>
    <n v="0"/>
    <n v="40"/>
    <n v="26"/>
    <n v="1"/>
    <n v="3"/>
    <n v="5"/>
    <n v="12"/>
    <n v="1"/>
    <x v="0"/>
    <x v="0"/>
    <x v="1"/>
    <x v="1"/>
    <x v="0"/>
    <n v="0"/>
    <n v="3"/>
    <n v="11"/>
    <x v="1"/>
  </r>
  <r>
    <n v="7279"/>
    <n v="1969"/>
    <x v="1"/>
    <s v="Together"/>
    <n v="69476"/>
    <n v="0"/>
    <n v="0"/>
    <d v="2013-09-30T00:00:00"/>
    <n v="3"/>
    <n v="260"/>
    <n v="86"/>
    <n v="559"/>
    <n v="63"/>
    <n v="9"/>
    <n v="67"/>
    <n v="1"/>
    <n v="4"/>
    <n v="6"/>
    <n v="4"/>
    <n v="2"/>
    <x v="0"/>
    <x v="0"/>
    <x v="0"/>
    <x v="0"/>
    <x v="0"/>
    <n v="0"/>
    <n v="3"/>
    <n v="11"/>
    <x v="1"/>
  </r>
  <r>
    <n v="7230"/>
    <n v="1960"/>
    <x v="1"/>
    <s v="Divorced"/>
    <n v="50611"/>
    <n v="0"/>
    <n v="1"/>
    <d v="2012-10-04T00:00:00"/>
    <n v="98"/>
    <n v="459"/>
    <n v="0"/>
    <n v="24"/>
    <n v="6"/>
    <n v="0"/>
    <n v="4"/>
    <n v="6"/>
    <n v="4"/>
    <n v="5"/>
    <n v="7"/>
    <n v="6"/>
    <x v="0"/>
    <x v="1"/>
    <x v="0"/>
    <x v="0"/>
    <x v="0"/>
    <n v="0"/>
    <n v="3"/>
    <n v="11"/>
    <x v="0"/>
  </r>
  <r>
    <n v="143"/>
    <n v="1970"/>
    <x v="0"/>
    <s v="Single"/>
    <n v="61209"/>
    <n v="0"/>
    <n v="0"/>
    <d v="2013-08-25T00:00:00"/>
    <n v="73"/>
    <n v="466"/>
    <n v="0"/>
    <n v="224"/>
    <n v="119"/>
    <n v="49"/>
    <n v="99"/>
    <n v="1"/>
    <n v="5"/>
    <n v="3"/>
    <n v="4"/>
    <n v="2"/>
    <x v="0"/>
    <x v="0"/>
    <x v="0"/>
    <x v="0"/>
    <x v="0"/>
    <n v="0"/>
    <n v="3"/>
    <n v="11"/>
    <x v="1"/>
  </r>
  <r>
    <n v="450"/>
    <n v="1958"/>
    <x v="2"/>
    <s v="Together"/>
    <n v="42315"/>
    <n v="0"/>
    <n v="1"/>
    <d v="2013-07-12T00:00:00"/>
    <n v="90"/>
    <n v="67"/>
    <n v="15"/>
    <n v="80"/>
    <n v="17"/>
    <n v="11"/>
    <n v="80"/>
    <n v="3"/>
    <n v="1"/>
    <n v="4"/>
    <n v="4"/>
    <n v="3"/>
    <x v="0"/>
    <x v="0"/>
    <x v="0"/>
    <x v="0"/>
    <x v="0"/>
    <n v="0"/>
    <n v="3"/>
    <n v="11"/>
    <x v="1"/>
  </r>
  <r>
    <n v="9316"/>
    <n v="1952"/>
    <x v="3"/>
    <s v="Together"/>
    <n v="13084"/>
    <n v="0"/>
    <n v="0"/>
    <d v="2013-11-02T00:00:00"/>
    <n v="29"/>
    <n v="2"/>
    <n v="0"/>
    <n v="7"/>
    <n v="3"/>
    <n v="7"/>
    <n v="10"/>
    <n v="1"/>
    <n v="1"/>
    <n v="0"/>
    <n v="3"/>
    <n v="6"/>
    <x v="0"/>
    <x v="0"/>
    <x v="0"/>
    <x v="0"/>
    <x v="0"/>
    <n v="0"/>
    <n v="3"/>
    <n v="11"/>
    <x v="1"/>
  </r>
  <r>
    <n v="6379"/>
    <n v="1949"/>
    <x v="2"/>
    <s v="Widow"/>
    <n v="47570"/>
    <n v="1"/>
    <n v="1"/>
    <d v="2013-05-29T00:00:00"/>
    <n v="3"/>
    <n v="67"/>
    <n v="1"/>
    <n v="20"/>
    <n v="0"/>
    <n v="2"/>
    <n v="31"/>
    <n v="3"/>
    <n v="2"/>
    <n v="2"/>
    <n v="2"/>
    <n v="7"/>
    <x v="0"/>
    <x v="0"/>
    <x v="0"/>
    <x v="0"/>
    <x v="0"/>
    <n v="0"/>
    <n v="3"/>
    <n v="11"/>
    <x v="0"/>
  </r>
  <r>
    <n v="9239"/>
    <n v="1961"/>
    <x v="2"/>
    <s v="Married"/>
    <n v="61923"/>
    <n v="0"/>
    <n v="2"/>
    <d v="2013-07-26T00:00:00"/>
    <n v="94"/>
    <n v="92"/>
    <n v="4"/>
    <n v="18"/>
    <n v="3"/>
    <n v="3"/>
    <n v="6"/>
    <n v="1"/>
    <n v="2"/>
    <n v="1"/>
    <n v="4"/>
    <n v="3"/>
    <x v="0"/>
    <x v="0"/>
    <x v="0"/>
    <x v="0"/>
    <x v="0"/>
    <n v="0"/>
    <n v="3"/>
    <n v="11"/>
    <x v="1"/>
  </r>
  <r>
    <n v="8315"/>
    <n v="1995"/>
    <x v="0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x v="0"/>
    <x v="0"/>
    <x v="0"/>
    <x v="0"/>
    <x v="0"/>
    <n v="0"/>
    <n v="3"/>
    <n v="11"/>
    <x v="1"/>
  </r>
  <r>
    <n v="2868"/>
    <n v="1949"/>
    <x v="1"/>
    <s v="Single"/>
    <n v="26518"/>
    <n v="1"/>
    <n v="1"/>
    <d v="2013-04-08T00:00:00"/>
    <n v="33"/>
    <n v="20"/>
    <n v="1"/>
    <n v="28"/>
    <n v="3"/>
    <n v="3"/>
    <n v="2"/>
    <n v="3"/>
    <n v="2"/>
    <n v="0"/>
    <n v="3"/>
    <n v="8"/>
    <x v="0"/>
    <x v="0"/>
    <x v="0"/>
    <x v="0"/>
    <x v="0"/>
    <n v="0"/>
    <n v="3"/>
    <n v="11"/>
    <x v="0"/>
  </r>
  <r>
    <n v="10888"/>
    <n v="1961"/>
    <x v="0"/>
    <s v="Single"/>
    <n v="45938"/>
    <n v="0"/>
    <n v="0"/>
    <d v="2013-11-03T00:00:00"/>
    <n v="46"/>
    <n v="273"/>
    <n v="11"/>
    <n v="178"/>
    <n v="62"/>
    <n v="83"/>
    <n v="29"/>
    <n v="2"/>
    <n v="8"/>
    <n v="4"/>
    <n v="6"/>
    <n v="6"/>
    <x v="0"/>
    <x v="0"/>
    <x v="0"/>
    <x v="0"/>
    <x v="0"/>
    <n v="0"/>
    <n v="3"/>
    <n v="11"/>
    <x v="1"/>
  </r>
  <r>
    <n v="1277"/>
    <n v="1960"/>
    <x v="0"/>
    <s v="Together"/>
    <n v="78468"/>
    <n v="0"/>
    <n v="0"/>
    <d v="2014-04-09T00:00:00"/>
    <n v="29"/>
    <n v="434"/>
    <n v="22"/>
    <n v="388"/>
    <n v="104"/>
    <n v="22"/>
    <n v="34"/>
    <n v="1"/>
    <n v="10"/>
    <n v="7"/>
    <n v="10"/>
    <n v="4"/>
    <x v="0"/>
    <x v="0"/>
    <x v="0"/>
    <x v="1"/>
    <x v="0"/>
    <n v="0"/>
    <n v="3"/>
    <n v="11"/>
    <x v="1"/>
  </r>
  <r>
    <n v="9977"/>
    <n v="1973"/>
    <x v="0"/>
    <s v="Divorced"/>
    <n v="78901"/>
    <n v="0"/>
    <n v="1"/>
    <d v="2013-09-17T00:00:00"/>
    <n v="99"/>
    <n v="321"/>
    <n v="11"/>
    <n v="309"/>
    <n v="33"/>
    <n v="26"/>
    <n v="34"/>
    <n v="3"/>
    <n v="9"/>
    <n v="3"/>
    <n v="5"/>
    <n v="4"/>
    <x v="0"/>
    <x v="0"/>
    <x v="0"/>
    <x v="0"/>
    <x v="0"/>
    <n v="0"/>
    <n v="3"/>
    <n v="11"/>
    <x v="1"/>
  </r>
  <r>
    <n v="10196"/>
    <n v="1978"/>
    <x v="0"/>
    <s v="Married"/>
    <n v="71427"/>
    <n v="2"/>
    <n v="0"/>
    <d v="2014-03-12T00:00:00"/>
    <n v="26"/>
    <n v="212"/>
    <n v="123"/>
    <n v="177"/>
    <n v="15"/>
    <n v="64"/>
    <n v="23"/>
    <n v="2"/>
    <n v="8"/>
    <n v="2"/>
    <n v="8"/>
    <n v="4"/>
    <x v="0"/>
    <x v="0"/>
    <x v="0"/>
    <x v="0"/>
    <x v="0"/>
    <n v="0"/>
    <n v="3"/>
    <n v="11"/>
    <x v="1"/>
  </r>
  <r>
    <n v="6384"/>
    <n v="1978"/>
    <x v="0"/>
    <s v="Divorced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x v="1"/>
    <x v="0"/>
    <x v="0"/>
    <x v="0"/>
    <x v="0"/>
    <n v="0"/>
    <n v="3"/>
    <n v="11"/>
    <x v="1"/>
  </r>
  <r>
    <n v="8029"/>
    <n v="1988"/>
    <x v="2"/>
    <s v="Single"/>
    <n v="90247"/>
    <n v="0"/>
    <n v="0"/>
    <d v="2014-04-29T00:00:00"/>
    <n v="27"/>
    <n v="1184"/>
    <n v="32"/>
    <n v="352"/>
    <n v="21"/>
    <n v="16"/>
    <n v="16"/>
    <n v="1"/>
    <n v="3"/>
    <n v="4"/>
    <n v="7"/>
    <n v="1"/>
    <x v="0"/>
    <x v="1"/>
    <x v="1"/>
    <x v="1"/>
    <x v="0"/>
    <n v="0"/>
    <n v="3"/>
    <n v="11"/>
    <x v="0"/>
  </r>
  <r>
    <n v="968"/>
    <n v="1968"/>
    <x v="2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x v="0"/>
    <x v="0"/>
    <x v="0"/>
    <x v="0"/>
    <x v="0"/>
    <n v="0"/>
    <n v="3"/>
    <n v="11"/>
    <x v="1"/>
  </r>
  <r>
    <n v="6988"/>
    <n v="1986"/>
    <x v="0"/>
    <s v="Married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x v="1"/>
    <x v="0"/>
    <x v="1"/>
    <x v="0"/>
    <x v="0"/>
    <n v="0"/>
    <n v="3"/>
    <n v="11"/>
    <x v="1"/>
  </r>
  <r>
    <n v="4472"/>
    <n v="1970"/>
    <x v="1"/>
    <s v="Divorced"/>
    <n v="35682"/>
    <n v="1"/>
    <n v="0"/>
    <d v="2014-06-27T00:00:00"/>
    <n v="34"/>
    <n v="23"/>
    <n v="0"/>
    <n v="8"/>
    <n v="6"/>
    <n v="2"/>
    <n v="18"/>
    <n v="1"/>
    <n v="1"/>
    <n v="1"/>
    <n v="3"/>
    <n v="2"/>
    <x v="0"/>
    <x v="0"/>
    <x v="0"/>
    <x v="0"/>
    <x v="0"/>
    <n v="0"/>
    <n v="3"/>
    <n v="11"/>
    <x v="1"/>
  </r>
  <r>
    <n v="6991"/>
    <n v="1951"/>
    <x v="0"/>
    <s v="Divorced"/>
    <n v="43185"/>
    <n v="0"/>
    <n v="1"/>
    <d v="2013-04-10T00:00:00"/>
    <n v="88"/>
    <n v="537"/>
    <n v="6"/>
    <n v="42"/>
    <n v="16"/>
    <n v="6"/>
    <n v="30"/>
    <n v="2"/>
    <n v="9"/>
    <n v="3"/>
    <n v="6"/>
    <n v="8"/>
    <x v="0"/>
    <x v="0"/>
    <x v="0"/>
    <x v="0"/>
    <x v="0"/>
    <n v="0"/>
    <n v="3"/>
    <n v="11"/>
    <x v="1"/>
  </r>
  <r>
    <n v="3336"/>
    <n v="1948"/>
    <x v="1"/>
    <s v="Together"/>
    <n v="66375"/>
    <n v="0"/>
    <n v="1"/>
    <d v="2013-11-21T00:00:00"/>
    <n v="96"/>
    <n v="712"/>
    <n v="0"/>
    <n v="45"/>
    <n v="0"/>
    <n v="0"/>
    <n v="191"/>
    <n v="3"/>
    <n v="2"/>
    <n v="4"/>
    <n v="5"/>
    <n v="7"/>
    <x v="1"/>
    <x v="0"/>
    <x v="0"/>
    <x v="0"/>
    <x v="0"/>
    <n v="0"/>
    <n v="3"/>
    <n v="11"/>
    <x v="1"/>
  </r>
  <r>
    <n v="4301"/>
    <n v="1971"/>
    <x v="2"/>
    <s v="Married"/>
    <n v="35178"/>
    <n v="1"/>
    <n v="0"/>
    <d v="2013-01-10T00:00:00"/>
    <n v="10"/>
    <n v="23"/>
    <n v="1"/>
    <n v="13"/>
    <n v="2"/>
    <n v="2"/>
    <n v="18"/>
    <n v="1"/>
    <n v="1"/>
    <n v="1"/>
    <n v="2"/>
    <n v="7"/>
    <x v="1"/>
    <x v="0"/>
    <x v="0"/>
    <x v="0"/>
    <x v="0"/>
    <n v="0"/>
    <n v="3"/>
    <n v="11"/>
    <x v="0"/>
  </r>
  <r>
    <n v="1940"/>
    <n v="1986"/>
    <x v="0"/>
    <s v="Married"/>
    <n v="25252"/>
    <n v="1"/>
    <n v="0"/>
    <d v="2013-07-12T00:00:00"/>
    <n v="26"/>
    <n v="1"/>
    <n v="3"/>
    <n v="4"/>
    <n v="2"/>
    <n v="2"/>
    <n v="6"/>
    <n v="1"/>
    <n v="1"/>
    <n v="0"/>
    <n v="2"/>
    <n v="8"/>
    <x v="0"/>
    <x v="0"/>
    <x v="0"/>
    <x v="0"/>
    <x v="0"/>
    <n v="0"/>
    <n v="3"/>
    <n v="11"/>
    <x v="1"/>
  </r>
  <r>
    <n v="1272"/>
    <n v="1965"/>
    <x v="2"/>
    <s v="Single"/>
    <n v="55250"/>
    <n v="0"/>
    <n v="1"/>
    <d v="2012-10-21T00:00:00"/>
    <n v="49"/>
    <n v="664"/>
    <n v="58"/>
    <n v="83"/>
    <n v="32"/>
    <n v="0"/>
    <n v="66"/>
    <n v="4"/>
    <n v="7"/>
    <n v="5"/>
    <n v="10"/>
    <n v="5"/>
    <x v="0"/>
    <x v="0"/>
    <x v="0"/>
    <x v="0"/>
    <x v="0"/>
    <n v="0"/>
    <n v="3"/>
    <n v="11"/>
    <x v="1"/>
  </r>
  <r>
    <n v="1388"/>
    <n v="1975"/>
    <x v="0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x v="0"/>
    <x v="0"/>
    <x v="0"/>
    <x v="0"/>
    <x v="0"/>
    <n v="0"/>
    <n v="3"/>
    <n v="11"/>
    <x v="1"/>
  </r>
  <r>
    <n v="1044"/>
    <n v="1953"/>
    <x v="0"/>
    <s v="Together"/>
    <n v="58398"/>
    <n v="0"/>
    <n v="0"/>
    <d v="2013-05-14T00:00:00"/>
    <n v="44"/>
    <n v="299"/>
    <n v="5"/>
    <n v="201"/>
    <n v="21"/>
    <n v="21"/>
    <n v="49"/>
    <n v="3"/>
    <n v="5"/>
    <n v="4"/>
    <n v="8"/>
    <n v="4"/>
    <x v="0"/>
    <x v="0"/>
    <x v="0"/>
    <x v="0"/>
    <x v="0"/>
    <n v="0"/>
    <n v="3"/>
    <n v="11"/>
    <x v="1"/>
  </r>
  <r>
    <n v="6969"/>
    <n v="1982"/>
    <x v="0"/>
    <s v="Together"/>
    <n v="50272"/>
    <n v="1"/>
    <n v="0"/>
    <d v="2013-08-07T00:00:00"/>
    <n v="75"/>
    <n v="99"/>
    <n v="13"/>
    <n v="66"/>
    <n v="43"/>
    <n v="8"/>
    <n v="4"/>
    <n v="3"/>
    <n v="4"/>
    <n v="1"/>
    <n v="5"/>
    <n v="7"/>
    <x v="0"/>
    <x v="0"/>
    <x v="0"/>
    <x v="0"/>
    <x v="0"/>
    <n v="0"/>
    <n v="3"/>
    <n v="11"/>
    <x v="1"/>
  </r>
  <r>
    <n v="10479"/>
    <n v="1975"/>
    <x v="1"/>
    <s v="Married"/>
    <n v="76618"/>
    <n v="0"/>
    <n v="0"/>
    <d v="2012-12-07T00:00:00"/>
    <n v="64"/>
    <n v="749"/>
    <n v="40"/>
    <n v="294"/>
    <n v="121"/>
    <n v="160"/>
    <n v="147"/>
    <n v="1"/>
    <n v="3"/>
    <n v="2"/>
    <n v="5"/>
    <n v="1"/>
    <x v="0"/>
    <x v="0"/>
    <x v="0"/>
    <x v="0"/>
    <x v="0"/>
    <n v="0"/>
    <n v="3"/>
    <n v="11"/>
    <x v="1"/>
  </r>
  <r>
    <n v="3619"/>
    <n v="1960"/>
    <x v="4"/>
    <s v="Divorced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x v="0"/>
    <x v="0"/>
    <x v="1"/>
    <x v="0"/>
    <x v="0"/>
    <n v="0"/>
    <n v="3"/>
    <n v="11"/>
    <x v="0"/>
  </r>
  <r>
    <n v="1715"/>
    <n v="1978"/>
    <x v="0"/>
    <s v="Together"/>
    <n v="25851"/>
    <n v="1"/>
    <n v="0"/>
    <d v="2013-02-11T00:00:00"/>
    <n v="45"/>
    <n v="9"/>
    <n v="4"/>
    <n v="18"/>
    <n v="7"/>
    <n v="5"/>
    <n v="5"/>
    <n v="2"/>
    <n v="2"/>
    <n v="0"/>
    <n v="3"/>
    <n v="7"/>
    <x v="0"/>
    <x v="0"/>
    <x v="0"/>
    <x v="0"/>
    <x v="0"/>
    <n v="0"/>
    <n v="3"/>
    <n v="11"/>
    <x v="1"/>
  </r>
  <r>
    <n v="10159"/>
    <n v="1970"/>
    <x v="0"/>
    <s v="Divorced"/>
    <n v="58710"/>
    <n v="0"/>
    <n v="1"/>
    <d v="2013-03-31T00:00:00"/>
    <n v="77"/>
    <n v="440"/>
    <n v="81"/>
    <n v="368"/>
    <n v="0"/>
    <n v="122"/>
    <n v="174"/>
    <n v="6"/>
    <n v="11"/>
    <n v="5"/>
    <n v="9"/>
    <n v="6"/>
    <x v="0"/>
    <x v="0"/>
    <x v="0"/>
    <x v="0"/>
    <x v="0"/>
    <n v="0"/>
    <n v="3"/>
    <n v="11"/>
    <x v="1"/>
  </r>
  <r>
    <n v="1463"/>
    <n v="1958"/>
    <x v="0"/>
    <s v="Single"/>
    <n v="45160"/>
    <n v="1"/>
    <n v="1"/>
    <d v="2014-03-29T00:00:00"/>
    <n v="9"/>
    <n v="8"/>
    <n v="2"/>
    <n v="5"/>
    <n v="3"/>
    <n v="0"/>
    <n v="3"/>
    <n v="1"/>
    <n v="1"/>
    <n v="0"/>
    <n v="2"/>
    <n v="7"/>
    <x v="0"/>
    <x v="0"/>
    <x v="0"/>
    <x v="0"/>
    <x v="0"/>
    <n v="0"/>
    <n v="3"/>
    <n v="11"/>
    <x v="1"/>
  </r>
  <r>
    <n v="5114"/>
    <n v="1965"/>
    <x v="2"/>
    <s v="Married"/>
    <n v="74806"/>
    <n v="0"/>
    <n v="1"/>
    <d v="2012-12-19T00:00:00"/>
    <n v="1"/>
    <n v="670"/>
    <n v="9"/>
    <n v="249"/>
    <n v="0"/>
    <n v="28"/>
    <n v="9"/>
    <n v="2"/>
    <n v="5"/>
    <n v="4"/>
    <n v="5"/>
    <n v="4"/>
    <x v="0"/>
    <x v="0"/>
    <x v="0"/>
    <x v="0"/>
    <x v="0"/>
    <n v="0"/>
    <n v="3"/>
    <n v="11"/>
    <x v="1"/>
  </r>
  <r>
    <n v="4990"/>
    <n v="1954"/>
    <x v="0"/>
    <s v="Married"/>
    <n v="59111"/>
    <n v="0"/>
    <n v="0"/>
    <d v="2013-05-02T00:00:00"/>
    <n v="90"/>
    <n v="524"/>
    <n v="0"/>
    <n v="134"/>
    <n v="28"/>
    <n v="28"/>
    <n v="155"/>
    <n v="1"/>
    <n v="11"/>
    <n v="1"/>
    <n v="8"/>
    <n v="7"/>
    <x v="0"/>
    <x v="0"/>
    <x v="0"/>
    <x v="0"/>
    <x v="0"/>
    <n v="0"/>
    <n v="3"/>
    <n v="11"/>
    <x v="1"/>
  </r>
  <r>
    <n v="4329"/>
    <n v="1984"/>
    <x v="1"/>
    <s v="Married"/>
    <n v="18988"/>
    <n v="1"/>
    <n v="0"/>
    <d v="2014-05-23T00:00:00"/>
    <n v="43"/>
    <n v="6"/>
    <n v="0"/>
    <n v="6"/>
    <n v="2"/>
    <n v="1"/>
    <n v="1"/>
    <n v="2"/>
    <n v="1"/>
    <n v="0"/>
    <n v="3"/>
    <n v="7"/>
    <x v="0"/>
    <x v="0"/>
    <x v="0"/>
    <x v="0"/>
    <x v="0"/>
    <n v="0"/>
    <n v="3"/>
    <n v="11"/>
    <x v="1"/>
  </r>
  <r>
    <n v="10936"/>
    <n v="1965"/>
    <x v="0"/>
    <s v="Married"/>
    <n v="72190"/>
    <n v="0"/>
    <n v="0"/>
    <d v="2013-02-13T00:00:00"/>
    <n v="79"/>
    <n v="597"/>
    <n v="166"/>
    <n v="597"/>
    <n v="172"/>
    <n v="166"/>
    <n v="249"/>
    <n v="1"/>
    <n v="5"/>
    <n v="6"/>
    <n v="4"/>
    <n v="3"/>
    <x v="0"/>
    <x v="0"/>
    <x v="0"/>
    <x v="0"/>
    <x v="0"/>
    <n v="0"/>
    <n v="3"/>
    <n v="11"/>
    <x v="1"/>
  </r>
  <r>
    <n v="4692"/>
    <n v="1976"/>
    <x v="0"/>
    <s v="Married"/>
    <n v="7500"/>
    <n v="1"/>
    <n v="0"/>
    <d v="2012-08-01T00:00:00"/>
    <n v="19"/>
    <n v="7"/>
    <n v="0"/>
    <n v="12"/>
    <n v="13"/>
    <n v="7"/>
    <n v="32"/>
    <n v="5"/>
    <n v="4"/>
    <n v="1"/>
    <n v="2"/>
    <n v="9"/>
    <x v="1"/>
    <x v="0"/>
    <x v="0"/>
    <x v="0"/>
    <x v="0"/>
    <n v="0"/>
    <n v="3"/>
    <n v="11"/>
    <x v="0"/>
  </r>
  <r>
    <n v="7212"/>
    <n v="1966"/>
    <x v="0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x v="0"/>
    <x v="0"/>
    <x v="0"/>
    <x v="0"/>
    <x v="0"/>
    <n v="0"/>
    <n v="3"/>
    <n v="11"/>
    <x v="1"/>
  </r>
  <r>
    <n v="6086"/>
    <n v="1955"/>
    <x v="0"/>
    <s v="Married"/>
    <n v="80395"/>
    <n v="0"/>
    <n v="0"/>
    <d v="2013-11-23T00:00:00"/>
    <n v="62"/>
    <n v="445"/>
    <n v="25"/>
    <n v="706"/>
    <n v="80"/>
    <n v="76"/>
    <n v="48"/>
    <n v="1"/>
    <n v="6"/>
    <n v="5"/>
    <n v="12"/>
    <n v="2"/>
    <x v="0"/>
    <x v="0"/>
    <x v="0"/>
    <x v="1"/>
    <x v="0"/>
    <n v="0"/>
    <n v="3"/>
    <n v="11"/>
    <x v="1"/>
  </r>
  <r>
    <n v="437"/>
    <n v="1976"/>
    <x v="2"/>
    <s v="Divorced"/>
    <n v="75012"/>
    <n v="0"/>
    <n v="0"/>
    <d v="2014-01-25T00:00:00"/>
    <n v="41"/>
    <n v="294"/>
    <n v="142"/>
    <n v="218"/>
    <n v="164"/>
    <n v="58"/>
    <n v="151"/>
    <n v="1"/>
    <n v="3"/>
    <n v="8"/>
    <n v="11"/>
    <n v="1"/>
    <x v="0"/>
    <x v="0"/>
    <x v="0"/>
    <x v="0"/>
    <x v="0"/>
    <n v="0"/>
    <n v="3"/>
    <n v="11"/>
    <x v="1"/>
  </r>
  <r>
    <n v="11171"/>
    <n v="1965"/>
    <x v="2"/>
    <s v="Married"/>
    <n v="56962"/>
    <n v="2"/>
    <n v="1"/>
    <d v="2013-10-11T00:00:00"/>
    <n v="60"/>
    <n v="292"/>
    <n v="3"/>
    <n v="77"/>
    <n v="10"/>
    <n v="3"/>
    <n v="26"/>
    <n v="7"/>
    <n v="6"/>
    <n v="3"/>
    <n v="5"/>
    <n v="7"/>
    <x v="0"/>
    <x v="0"/>
    <x v="0"/>
    <x v="0"/>
    <x v="0"/>
    <n v="0"/>
    <n v="3"/>
    <n v="11"/>
    <x v="1"/>
  </r>
  <r>
    <n v="11101"/>
    <n v="1991"/>
    <x v="0"/>
    <s v="Together"/>
    <n v="89891"/>
    <n v="0"/>
    <n v="0"/>
    <d v="2013-04-15T00:00:00"/>
    <n v="17"/>
    <n v="412"/>
    <n v="22"/>
    <n v="132"/>
    <n v="59"/>
    <n v="28"/>
    <n v="183"/>
    <n v="1"/>
    <n v="11"/>
    <n v="6"/>
    <n v="8"/>
    <n v="4"/>
    <x v="0"/>
    <x v="0"/>
    <x v="1"/>
    <x v="0"/>
    <x v="0"/>
    <n v="0"/>
    <n v="3"/>
    <n v="11"/>
    <x v="1"/>
  </r>
  <r>
    <n v="5329"/>
    <n v="1949"/>
    <x v="1"/>
    <s v="Divorced"/>
    <n v="35946"/>
    <n v="1"/>
    <n v="1"/>
    <d v="2013-09-27T00:00:00"/>
    <n v="24"/>
    <n v="8"/>
    <n v="0"/>
    <n v="3"/>
    <n v="0"/>
    <n v="0"/>
    <n v="0"/>
    <n v="1"/>
    <n v="0"/>
    <n v="0"/>
    <n v="3"/>
    <n v="5"/>
    <x v="0"/>
    <x v="0"/>
    <x v="0"/>
    <x v="0"/>
    <x v="0"/>
    <n v="0"/>
    <n v="3"/>
    <n v="11"/>
    <x v="1"/>
  </r>
  <r>
    <n v="610"/>
    <n v="1953"/>
    <x v="1"/>
    <s v="Together"/>
    <n v="53593"/>
    <n v="1"/>
    <n v="1"/>
    <d v="2012-08-07T00:00:00"/>
    <n v="60"/>
    <n v="349"/>
    <n v="4"/>
    <n v="78"/>
    <n v="6"/>
    <n v="0"/>
    <n v="43"/>
    <n v="8"/>
    <n v="7"/>
    <n v="2"/>
    <n v="6"/>
    <n v="8"/>
    <x v="0"/>
    <x v="0"/>
    <x v="0"/>
    <x v="0"/>
    <x v="0"/>
    <n v="0"/>
    <n v="3"/>
    <n v="11"/>
    <x v="1"/>
  </r>
  <r>
    <n v="9384"/>
    <n v="1978"/>
    <x v="0"/>
    <s v="Married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x v="0"/>
    <x v="0"/>
    <x v="0"/>
    <x v="0"/>
    <x v="0"/>
    <n v="0"/>
    <n v="3"/>
    <n v="11"/>
    <x v="1"/>
  </r>
  <r>
    <n v="5956"/>
    <n v="1948"/>
    <x v="1"/>
    <s v="Divorced"/>
    <n v="45072"/>
    <n v="1"/>
    <n v="2"/>
    <d v="2013-10-16T00:00:00"/>
    <n v="74"/>
    <n v="144"/>
    <n v="2"/>
    <n v="99"/>
    <n v="7"/>
    <n v="2"/>
    <n v="30"/>
    <n v="5"/>
    <n v="6"/>
    <n v="1"/>
    <n v="4"/>
    <n v="8"/>
    <x v="0"/>
    <x v="0"/>
    <x v="0"/>
    <x v="0"/>
    <x v="0"/>
    <n v="0"/>
    <n v="3"/>
    <n v="11"/>
    <x v="1"/>
  </r>
  <r>
    <n v="10430"/>
    <n v="1973"/>
    <x v="0"/>
    <s v="Divorced"/>
    <n v="89694"/>
    <n v="1"/>
    <n v="1"/>
    <d v="2013-10-09T00:00:00"/>
    <n v="22"/>
    <n v="1126"/>
    <n v="28"/>
    <n v="211"/>
    <n v="37"/>
    <n v="28"/>
    <n v="42"/>
    <n v="3"/>
    <n v="4"/>
    <n v="3"/>
    <n v="4"/>
    <n v="5"/>
    <x v="0"/>
    <x v="1"/>
    <x v="1"/>
    <x v="1"/>
    <x v="0"/>
    <n v="0"/>
    <n v="3"/>
    <n v="11"/>
    <x v="1"/>
  </r>
  <r>
    <n v="7875"/>
    <n v="1949"/>
    <x v="0"/>
    <s v="Married"/>
    <n v="72025"/>
    <n v="0"/>
    <n v="0"/>
    <d v="2014-04-29T00:00:00"/>
    <n v="46"/>
    <n v="967"/>
    <n v="0"/>
    <n v="617"/>
    <n v="43"/>
    <n v="50"/>
    <n v="0"/>
    <n v="1"/>
    <n v="4"/>
    <n v="8"/>
    <n v="13"/>
    <n v="2"/>
    <x v="0"/>
    <x v="1"/>
    <x v="1"/>
    <x v="1"/>
    <x v="0"/>
    <n v="0"/>
    <n v="3"/>
    <n v="11"/>
    <x v="0"/>
  </r>
  <r>
    <n v="7072"/>
    <n v="1973"/>
    <x v="0"/>
    <s v="Married"/>
    <n v="67432"/>
    <n v="0"/>
    <n v="1"/>
    <d v="2013-03-29T00:00:00"/>
    <n v="69"/>
    <n v="432"/>
    <n v="79"/>
    <n v="341"/>
    <n v="177"/>
    <n v="136"/>
    <n v="170"/>
    <n v="2"/>
    <n v="8"/>
    <n v="5"/>
    <n v="4"/>
    <n v="4"/>
    <x v="0"/>
    <x v="0"/>
    <x v="0"/>
    <x v="0"/>
    <x v="0"/>
    <n v="0"/>
    <n v="3"/>
    <n v="11"/>
    <x v="1"/>
  </r>
  <r>
    <n v="6255"/>
    <n v="1952"/>
    <x v="2"/>
    <s v="Together"/>
    <n v="70545"/>
    <n v="0"/>
    <n v="1"/>
    <d v="2014-06-03T00:00:00"/>
    <n v="29"/>
    <n v="138"/>
    <n v="39"/>
    <n v="63"/>
    <n v="55"/>
    <n v="18"/>
    <n v="21"/>
    <n v="1"/>
    <n v="4"/>
    <n v="1"/>
    <n v="7"/>
    <n v="2"/>
    <x v="0"/>
    <x v="0"/>
    <x v="0"/>
    <x v="0"/>
    <x v="0"/>
    <n v="0"/>
    <n v="3"/>
    <n v="11"/>
    <x v="1"/>
  </r>
  <r>
    <n v="6516"/>
    <n v="1989"/>
    <x v="3"/>
    <s v="Married"/>
    <n v="17487"/>
    <n v="1"/>
    <n v="0"/>
    <d v="2013-03-18T00:00:00"/>
    <n v="37"/>
    <n v="0"/>
    <n v="0"/>
    <n v="1"/>
    <n v="7"/>
    <n v="4"/>
    <n v="6"/>
    <n v="1"/>
    <n v="1"/>
    <n v="0"/>
    <n v="2"/>
    <n v="7"/>
    <x v="0"/>
    <x v="0"/>
    <x v="0"/>
    <x v="0"/>
    <x v="0"/>
    <n v="0"/>
    <n v="3"/>
    <n v="11"/>
    <x v="1"/>
  </r>
  <r>
    <n v="5564"/>
    <n v="1969"/>
    <x v="0"/>
    <s v="Together"/>
    <n v="62882"/>
    <n v="0"/>
    <n v="1"/>
    <d v="2012-08-09T00:00:00"/>
    <n v="26"/>
    <n v="509"/>
    <n v="133"/>
    <n v="497"/>
    <n v="78"/>
    <n v="24"/>
    <n v="97"/>
    <n v="2"/>
    <n v="7"/>
    <n v="5"/>
    <n v="6"/>
    <n v="4"/>
    <x v="0"/>
    <x v="0"/>
    <x v="0"/>
    <x v="0"/>
    <x v="0"/>
    <n v="0"/>
    <n v="3"/>
    <n v="11"/>
    <x v="1"/>
  </r>
  <r>
    <n v="5682"/>
    <n v="1953"/>
    <x v="1"/>
    <s v="Single"/>
    <n v="64108"/>
    <n v="0"/>
    <n v="1"/>
    <d v="2013-03-23T00:00:00"/>
    <n v="8"/>
    <n v="948"/>
    <n v="10"/>
    <n v="86"/>
    <n v="13"/>
    <n v="21"/>
    <n v="21"/>
    <n v="4"/>
    <n v="6"/>
    <n v="9"/>
    <n v="11"/>
    <n v="5"/>
    <x v="0"/>
    <x v="0"/>
    <x v="0"/>
    <x v="0"/>
    <x v="0"/>
    <n v="0"/>
    <n v="3"/>
    <n v="11"/>
    <x v="1"/>
  </r>
  <r>
    <n v="7458"/>
    <n v="1956"/>
    <x v="2"/>
    <s v="Together"/>
    <n v="34941"/>
    <n v="1"/>
    <n v="1"/>
    <d v="2013-03-06T00:00:00"/>
    <n v="26"/>
    <n v="39"/>
    <n v="2"/>
    <n v="25"/>
    <n v="4"/>
    <n v="3"/>
    <n v="24"/>
    <n v="2"/>
    <n v="3"/>
    <n v="0"/>
    <n v="3"/>
    <n v="8"/>
    <x v="0"/>
    <x v="0"/>
    <x v="0"/>
    <x v="0"/>
    <x v="0"/>
    <n v="0"/>
    <n v="3"/>
    <n v="11"/>
    <x v="1"/>
  </r>
  <r>
    <n v="5237"/>
    <n v="1950"/>
    <x v="1"/>
    <s v="Single"/>
    <n v="48767"/>
    <n v="1"/>
    <n v="2"/>
    <d v="2014-01-01T00:00:00"/>
    <n v="79"/>
    <n v="28"/>
    <n v="1"/>
    <n v="21"/>
    <n v="3"/>
    <n v="0"/>
    <n v="10"/>
    <n v="3"/>
    <n v="2"/>
    <n v="1"/>
    <n v="3"/>
    <n v="5"/>
    <x v="0"/>
    <x v="0"/>
    <x v="0"/>
    <x v="0"/>
    <x v="0"/>
    <n v="0"/>
    <n v="3"/>
    <n v="11"/>
    <x v="1"/>
  </r>
  <r>
    <n v="7761"/>
    <n v="1978"/>
    <x v="4"/>
    <s v="Together"/>
    <n v="38702"/>
    <n v="1"/>
    <n v="0"/>
    <d v="2013-08-01T00:00:00"/>
    <n v="71"/>
    <n v="13"/>
    <n v="11"/>
    <n v="24"/>
    <n v="13"/>
    <n v="8"/>
    <n v="40"/>
    <n v="2"/>
    <n v="3"/>
    <n v="0"/>
    <n v="4"/>
    <n v="6"/>
    <x v="0"/>
    <x v="0"/>
    <x v="0"/>
    <x v="0"/>
    <x v="0"/>
    <n v="0"/>
    <n v="3"/>
    <n v="11"/>
    <x v="1"/>
  </r>
  <r>
    <n v="5278"/>
    <n v="1964"/>
    <x v="0"/>
    <s v="Married"/>
    <n v="82224"/>
    <n v="0"/>
    <n v="0"/>
    <d v="2014-01-25T00:00:00"/>
    <n v="83"/>
    <n v="307"/>
    <n v="26"/>
    <n v="360"/>
    <n v="138"/>
    <n v="31"/>
    <n v="40"/>
    <n v="1"/>
    <n v="6"/>
    <n v="9"/>
    <n v="5"/>
    <n v="3"/>
    <x v="0"/>
    <x v="0"/>
    <x v="0"/>
    <x v="1"/>
    <x v="0"/>
    <n v="0"/>
    <n v="3"/>
    <n v="11"/>
    <x v="1"/>
  </r>
  <r>
    <n v="3560"/>
    <n v="1952"/>
    <x v="0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x v="0"/>
    <x v="0"/>
    <x v="1"/>
    <x v="0"/>
    <x v="0"/>
    <n v="0"/>
    <n v="3"/>
    <n v="11"/>
    <x v="1"/>
  </r>
  <r>
    <n v="7235"/>
    <n v="1975"/>
    <x v="4"/>
    <s v="Married"/>
    <n v="17003"/>
    <n v="1"/>
    <n v="0"/>
    <d v="2013-12-09T00:00:00"/>
    <n v="37"/>
    <n v="2"/>
    <n v="5"/>
    <n v="12"/>
    <n v="4"/>
    <n v="8"/>
    <n v="7"/>
    <n v="3"/>
    <n v="2"/>
    <n v="0"/>
    <n v="4"/>
    <n v="5"/>
    <x v="0"/>
    <x v="0"/>
    <x v="0"/>
    <x v="0"/>
    <x v="0"/>
    <n v="0"/>
    <n v="3"/>
    <n v="11"/>
    <x v="1"/>
  </r>
  <r>
    <n v="10548"/>
    <n v="1995"/>
    <x v="0"/>
    <s v="Single"/>
    <n v="71163"/>
    <n v="0"/>
    <n v="0"/>
    <d v="2014-03-09T00:00:00"/>
    <n v="30"/>
    <n v="283"/>
    <n v="17"/>
    <n v="372"/>
    <n v="138"/>
    <n v="106"/>
    <n v="44"/>
    <n v="1"/>
    <n v="3"/>
    <n v="8"/>
    <n v="12"/>
    <n v="1"/>
    <x v="0"/>
    <x v="0"/>
    <x v="0"/>
    <x v="0"/>
    <x v="0"/>
    <n v="0"/>
    <n v="3"/>
    <n v="11"/>
    <x v="1"/>
  </r>
  <r>
    <n v="2281"/>
    <n v="1970"/>
    <x v="0"/>
    <s v="Single"/>
    <n v="33697"/>
    <n v="1"/>
    <n v="0"/>
    <d v="2013-09-15T00:00:00"/>
    <n v="34"/>
    <n v="4"/>
    <n v="3"/>
    <n v="7"/>
    <n v="0"/>
    <n v="3"/>
    <n v="11"/>
    <n v="1"/>
    <n v="1"/>
    <n v="0"/>
    <n v="2"/>
    <n v="7"/>
    <x v="1"/>
    <x v="0"/>
    <x v="0"/>
    <x v="0"/>
    <x v="0"/>
    <n v="0"/>
    <n v="3"/>
    <n v="11"/>
    <x v="1"/>
  </r>
  <r>
    <n v="4073"/>
    <n v="1954"/>
    <x v="4"/>
    <s v="Married"/>
    <n v="63564"/>
    <n v="0"/>
    <n v="0"/>
    <d v="2014-01-29T00:00:00"/>
    <n v="0"/>
    <n v="769"/>
    <n v="80"/>
    <n v="252"/>
    <n v="15"/>
    <n v="34"/>
    <n v="65"/>
    <n v="1"/>
    <n v="10"/>
    <n v="10"/>
    <n v="7"/>
    <n v="6"/>
    <x v="1"/>
    <x v="0"/>
    <x v="0"/>
    <x v="0"/>
    <x v="0"/>
    <n v="0"/>
    <n v="3"/>
    <n v="11"/>
    <x v="0"/>
  </r>
  <r>
    <n v="6974"/>
    <n v="1972"/>
    <x v="1"/>
    <s v="Together"/>
    <n v="83443"/>
    <n v="0"/>
    <n v="0"/>
    <d v="2013-12-31T00:00:00"/>
    <n v="89"/>
    <n v="518"/>
    <n v="42"/>
    <n v="742"/>
    <n v="55"/>
    <n v="56"/>
    <n v="84"/>
    <n v="1"/>
    <n v="6"/>
    <n v="10"/>
    <n v="5"/>
    <n v="2"/>
    <x v="0"/>
    <x v="0"/>
    <x v="0"/>
    <x v="0"/>
    <x v="0"/>
    <n v="0"/>
    <n v="3"/>
    <n v="11"/>
    <x v="1"/>
  </r>
  <r>
    <n v="7938"/>
    <n v="1958"/>
    <x v="1"/>
    <s v="Together"/>
    <n v="51518"/>
    <n v="0"/>
    <n v="1"/>
    <d v="2013-10-03T00:00:00"/>
    <n v="92"/>
    <n v="350"/>
    <n v="8"/>
    <n v="66"/>
    <n v="17"/>
    <n v="4"/>
    <n v="4"/>
    <n v="2"/>
    <n v="3"/>
    <n v="2"/>
    <n v="10"/>
    <n v="3"/>
    <x v="0"/>
    <x v="0"/>
    <x v="0"/>
    <x v="0"/>
    <x v="0"/>
    <n v="0"/>
    <n v="3"/>
    <n v="11"/>
    <x v="1"/>
  </r>
  <r>
    <n v="7094"/>
    <n v="1975"/>
    <x v="0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x v="0"/>
    <x v="0"/>
    <x v="0"/>
    <x v="0"/>
    <x v="0"/>
    <n v="0"/>
    <n v="3"/>
    <n v="11"/>
    <x v="1"/>
  </r>
  <r>
    <n v="3667"/>
    <n v="1969"/>
    <x v="0"/>
    <s v="Married"/>
    <n v="80952"/>
    <n v="0"/>
    <n v="0"/>
    <d v="2013-02-28T00:00:00"/>
    <n v="20"/>
    <n v="778"/>
    <n v="178"/>
    <n v="689"/>
    <n v="41"/>
    <n v="27"/>
    <n v="44"/>
    <n v="1"/>
    <n v="8"/>
    <n v="5"/>
    <n v="11"/>
    <n v="8"/>
    <x v="0"/>
    <x v="1"/>
    <x v="1"/>
    <x v="1"/>
    <x v="0"/>
    <n v="0"/>
    <n v="3"/>
    <n v="11"/>
    <x v="0"/>
  </r>
  <r>
    <n v="7723"/>
    <n v="1979"/>
    <x v="0"/>
    <s v="Together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x v="0"/>
    <x v="0"/>
    <x v="0"/>
    <x v="0"/>
    <x v="0"/>
    <n v="0"/>
    <n v="3"/>
    <n v="11"/>
    <x v="1"/>
  </r>
  <r>
    <n v="3870"/>
    <n v="1978"/>
    <x v="4"/>
    <s v="Together"/>
    <n v="63855"/>
    <n v="0"/>
    <n v="0"/>
    <d v="2013-02-09T00:00:00"/>
    <n v="28"/>
    <n v="359"/>
    <n v="35"/>
    <n v="314"/>
    <n v="93"/>
    <n v="116"/>
    <n v="89"/>
    <n v="1"/>
    <n v="7"/>
    <n v="3"/>
    <n v="13"/>
    <n v="4"/>
    <x v="0"/>
    <x v="0"/>
    <x v="0"/>
    <x v="0"/>
    <x v="0"/>
    <n v="0"/>
    <n v="3"/>
    <n v="11"/>
    <x v="1"/>
  </r>
  <r>
    <n v="4012"/>
    <n v="1972"/>
    <x v="1"/>
    <s v="Together"/>
    <n v="62220"/>
    <n v="0"/>
    <n v="1"/>
    <d v="2012-08-11T00:00:00"/>
    <n v="55"/>
    <n v="799"/>
    <n v="12"/>
    <n v="375"/>
    <n v="16"/>
    <n v="12"/>
    <n v="12"/>
    <n v="5"/>
    <n v="7"/>
    <n v="6"/>
    <n v="5"/>
    <n v="6"/>
    <x v="0"/>
    <x v="0"/>
    <x v="0"/>
    <x v="0"/>
    <x v="0"/>
    <n v="0"/>
    <n v="3"/>
    <n v="11"/>
    <x v="0"/>
  </r>
  <r>
    <n v="5909"/>
    <n v="1964"/>
    <x v="0"/>
    <s v="Married"/>
    <n v="58512"/>
    <n v="0"/>
    <n v="1"/>
    <d v="2013-09-19T00:00:00"/>
    <n v="25"/>
    <n v="895"/>
    <n v="10"/>
    <n v="101"/>
    <n v="13"/>
    <n v="0"/>
    <n v="152"/>
    <n v="5"/>
    <n v="3"/>
    <n v="4"/>
    <n v="8"/>
    <n v="8"/>
    <x v="0"/>
    <x v="0"/>
    <x v="0"/>
    <x v="0"/>
    <x v="0"/>
    <n v="0"/>
    <n v="3"/>
    <n v="11"/>
    <x v="1"/>
  </r>
  <r>
    <n v="10470"/>
    <n v="1979"/>
    <x v="2"/>
    <s v="Married"/>
    <n v="40662"/>
    <n v="1"/>
    <n v="0"/>
    <d v="2013-03-15T00:00:00"/>
    <n v="0"/>
    <n v="40"/>
    <n v="2"/>
    <n v="23"/>
    <n v="0"/>
    <n v="4"/>
    <n v="23"/>
    <n v="2"/>
    <n v="2"/>
    <n v="1"/>
    <n v="3"/>
    <n v="4"/>
    <x v="0"/>
    <x v="0"/>
    <x v="0"/>
    <x v="0"/>
    <x v="0"/>
    <n v="0"/>
    <n v="3"/>
    <n v="11"/>
    <x v="1"/>
  </r>
  <r>
    <n v="6488"/>
    <n v="1959"/>
    <x v="1"/>
    <s v="Married"/>
    <n v="38829"/>
    <n v="0"/>
    <n v="1"/>
    <d v="2014-04-06T00:00:00"/>
    <n v="86"/>
    <n v="76"/>
    <n v="0"/>
    <n v="7"/>
    <n v="0"/>
    <n v="0"/>
    <n v="16"/>
    <n v="1"/>
    <n v="3"/>
    <n v="2"/>
    <n v="2"/>
    <n v="5"/>
    <x v="0"/>
    <x v="0"/>
    <x v="0"/>
    <x v="0"/>
    <x v="0"/>
    <n v="0"/>
    <n v="3"/>
    <n v="11"/>
    <x v="1"/>
  </r>
  <r>
    <n v="10270"/>
    <n v="1981"/>
    <x v="4"/>
    <s v="Married"/>
    <n v="35523"/>
    <n v="1"/>
    <n v="0"/>
    <d v="2013-10-03T00:00:00"/>
    <n v="8"/>
    <n v="11"/>
    <n v="5"/>
    <n v="22"/>
    <n v="12"/>
    <n v="5"/>
    <n v="11"/>
    <n v="2"/>
    <n v="3"/>
    <n v="0"/>
    <n v="3"/>
    <n v="7"/>
    <x v="0"/>
    <x v="0"/>
    <x v="0"/>
    <x v="0"/>
    <x v="0"/>
    <n v="0"/>
    <n v="3"/>
    <n v="11"/>
    <x v="1"/>
  </r>
  <r>
    <n v="6887"/>
    <n v="1967"/>
    <x v="0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x v="0"/>
    <x v="0"/>
    <x v="0"/>
    <x v="0"/>
    <x v="0"/>
    <n v="0"/>
    <n v="3"/>
    <n v="11"/>
    <x v="1"/>
  </r>
  <r>
    <n v="6406"/>
    <n v="1988"/>
    <x v="2"/>
    <s v="Married"/>
    <n v="78285"/>
    <n v="0"/>
    <n v="0"/>
    <d v="2013-10-28T00:00:00"/>
    <n v="13"/>
    <n v="647"/>
    <n v="107"/>
    <n v="391"/>
    <n v="175"/>
    <n v="67"/>
    <n v="40"/>
    <n v="1"/>
    <n v="6"/>
    <n v="4"/>
    <n v="10"/>
    <n v="3"/>
    <x v="0"/>
    <x v="0"/>
    <x v="0"/>
    <x v="0"/>
    <x v="0"/>
    <n v="0"/>
    <n v="3"/>
    <n v="11"/>
    <x v="1"/>
  </r>
  <r>
    <n v="7573"/>
    <n v="1978"/>
    <x v="1"/>
    <s v="Single"/>
    <n v="31626"/>
    <n v="1"/>
    <n v="0"/>
    <d v="2013-05-10T00:00:00"/>
    <n v="12"/>
    <n v="39"/>
    <n v="1"/>
    <n v="9"/>
    <n v="2"/>
    <n v="1"/>
    <n v="34"/>
    <n v="1"/>
    <n v="2"/>
    <n v="1"/>
    <n v="2"/>
    <n v="7"/>
    <x v="1"/>
    <x v="0"/>
    <x v="0"/>
    <x v="0"/>
    <x v="0"/>
    <n v="0"/>
    <n v="3"/>
    <n v="11"/>
    <x v="0"/>
  </r>
  <r>
    <n v="4508"/>
    <n v="1952"/>
    <x v="0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x v="0"/>
    <x v="0"/>
    <x v="0"/>
    <x v="0"/>
    <x v="0"/>
    <n v="0"/>
    <n v="3"/>
    <n v="11"/>
    <x v="1"/>
  </r>
  <r>
    <n v="221"/>
    <n v="1955"/>
    <x v="0"/>
    <s v="Married"/>
    <n v="48726"/>
    <n v="0"/>
    <n v="1"/>
    <d v="2013-04-27T00:00:00"/>
    <n v="90"/>
    <n v="138"/>
    <n v="3"/>
    <n v="38"/>
    <n v="4"/>
    <n v="0"/>
    <n v="59"/>
    <n v="3"/>
    <n v="3"/>
    <n v="2"/>
    <n v="4"/>
    <n v="6"/>
    <x v="0"/>
    <x v="0"/>
    <x v="0"/>
    <x v="0"/>
    <x v="0"/>
    <n v="0"/>
    <n v="3"/>
    <n v="11"/>
    <x v="1"/>
  </r>
  <r>
    <n v="5331"/>
    <n v="1977"/>
    <x v="0"/>
    <s v="Married"/>
    <n v="74985"/>
    <n v="0"/>
    <n v="0"/>
    <d v="2012-09-11T00:00:00"/>
    <n v="8"/>
    <n v="587"/>
    <n v="51"/>
    <n v="898"/>
    <n v="247"/>
    <n v="0"/>
    <n v="86"/>
    <n v="1"/>
    <n v="3"/>
    <n v="6"/>
    <n v="7"/>
    <n v="2"/>
    <x v="0"/>
    <x v="0"/>
    <x v="0"/>
    <x v="0"/>
    <x v="0"/>
    <n v="0"/>
    <n v="3"/>
    <n v="11"/>
    <x v="1"/>
  </r>
  <r>
    <n v="1911"/>
    <n v="1987"/>
    <x v="0"/>
    <s v="Together"/>
    <n v="67430"/>
    <n v="0"/>
    <n v="0"/>
    <d v="2012-09-05T00:00:00"/>
    <n v="6"/>
    <n v="595"/>
    <n v="97"/>
    <n v="291"/>
    <n v="127"/>
    <n v="133"/>
    <n v="121"/>
    <n v="1"/>
    <n v="11"/>
    <n v="5"/>
    <n v="12"/>
    <n v="6"/>
    <x v="0"/>
    <x v="0"/>
    <x v="0"/>
    <x v="0"/>
    <x v="0"/>
    <n v="0"/>
    <n v="3"/>
    <n v="11"/>
    <x v="1"/>
  </r>
  <r>
    <n v="20"/>
    <n v="1965"/>
    <x v="4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x v="0"/>
    <x v="0"/>
    <x v="0"/>
    <x v="0"/>
    <x v="0"/>
    <n v="0"/>
    <n v="3"/>
    <n v="11"/>
    <x v="1"/>
  </r>
  <r>
    <n v="8786"/>
    <n v="1956"/>
    <x v="2"/>
    <s v="Married"/>
    <n v="62058"/>
    <n v="0"/>
    <n v="1"/>
    <d v="2013-05-26T00:00:00"/>
    <n v="52"/>
    <n v="301"/>
    <n v="7"/>
    <n v="74"/>
    <n v="10"/>
    <n v="0"/>
    <n v="58"/>
    <n v="4"/>
    <n v="6"/>
    <n v="1"/>
    <n v="7"/>
    <n v="6"/>
    <x v="0"/>
    <x v="0"/>
    <x v="0"/>
    <x v="0"/>
    <x v="0"/>
    <n v="0"/>
    <n v="3"/>
    <n v="11"/>
    <x v="1"/>
  </r>
  <r>
    <n v="10582"/>
    <n v="1979"/>
    <x v="0"/>
    <s v="Married"/>
    <n v="72063"/>
    <n v="0"/>
    <n v="1"/>
    <d v="2013-07-03T00:00:00"/>
    <n v="3"/>
    <n v="180"/>
    <n v="32"/>
    <n v="348"/>
    <n v="76"/>
    <n v="32"/>
    <n v="90"/>
    <n v="2"/>
    <n v="5"/>
    <n v="2"/>
    <n v="12"/>
    <n v="2"/>
    <x v="0"/>
    <x v="0"/>
    <x v="0"/>
    <x v="0"/>
    <x v="0"/>
    <n v="0"/>
    <n v="3"/>
    <n v="11"/>
    <x v="1"/>
  </r>
  <r>
    <n v="1915"/>
    <n v="1951"/>
    <x v="1"/>
    <s v="Married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x v="0"/>
    <x v="0"/>
    <x v="0"/>
    <x v="0"/>
    <x v="0"/>
    <n v="0"/>
    <n v="3"/>
    <n v="11"/>
    <x v="1"/>
  </r>
  <r>
    <n v="8897"/>
    <n v="1965"/>
    <x v="0"/>
    <s v="Single"/>
    <n v="42720"/>
    <n v="1"/>
    <n v="1"/>
    <d v="2013-04-24T00:00:00"/>
    <n v="9"/>
    <n v="392"/>
    <n v="5"/>
    <n v="91"/>
    <n v="28"/>
    <n v="26"/>
    <n v="112"/>
    <n v="8"/>
    <n v="7"/>
    <n v="3"/>
    <n v="7"/>
    <n v="8"/>
    <x v="0"/>
    <x v="0"/>
    <x v="0"/>
    <x v="0"/>
    <x v="0"/>
    <n v="0"/>
    <n v="3"/>
    <n v="11"/>
    <x v="0"/>
  </r>
  <r>
    <n v="2371"/>
    <n v="1972"/>
    <x v="0"/>
    <s v="Married"/>
    <n v="33622"/>
    <n v="1"/>
    <n v="1"/>
    <d v="2013-04-13T00:00:00"/>
    <n v="22"/>
    <n v="39"/>
    <n v="1"/>
    <n v="22"/>
    <n v="3"/>
    <n v="4"/>
    <n v="12"/>
    <n v="3"/>
    <n v="2"/>
    <n v="0"/>
    <n v="4"/>
    <n v="7"/>
    <x v="0"/>
    <x v="0"/>
    <x v="0"/>
    <x v="0"/>
    <x v="0"/>
    <n v="0"/>
    <n v="3"/>
    <n v="11"/>
    <x v="1"/>
  </r>
  <r>
    <n v="4303"/>
    <n v="1957"/>
    <x v="1"/>
    <s v="Together"/>
    <n v="6835"/>
    <n v="0"/>
    <n v="1"/>
    <d v="2012-12-08T00:00:00"/>
    <n v="76"/>
    <n v="107"/>
    <n v="2"/>
    <n v="12"/>
    <n v="2"/>
    <n v="2"/>
    <n v="12"/>
    <n v="0"/>
    <n v="0"/>
    <n v="0"/>
    <n v="1"/>
    <n v="20"/>
    <x v="0"/>
    <x v="0"/>
    <x v="0"/>
    <x v="0"/>
    <x v="0"/>
    <n v="0"/>
    <n v="3"/>
    <n v="11"/>
    <x v="1"/>
  </r>
  <r>
    <n v="6825"/>
    <n v="1953"/>
    <x v="0"/>
    <s v="Together"/>
    <n v="41452"/>
    <n v="1"/>
    <n v="1"/>
    <d v="2013-03-06T00:00:00"/>
    <n v="86"/>
    <n v="13"/>
    <n v="0"/>
    <n v="3"/>
    <n v="0"/>
    <n v="0"/>
    <n v="0"/>
    <n v="1"/>
    <n v="1"/>
    <n v="0"/>
    <n v="2"/>
    <n v="7"/>
    <x v="0"/>
    <x v="0"/>
    <x v="0"/>
    <x v="0"/>
    <x v="0"/>
    <n v="0"/>
    <n v="3"/>
    <n v="11"/>
    <x v="1"/>
  </r>
  <r>
    <n v="1072"/>
    <n v="1965"/>
    <x v="1"/>
    <s v="Single"/>
    <n v="40760"/>
    <n v="0"/>
    <n v="1"/>
    <d v="2013-08-30T00:00:00"/>
    <n v="64"/>
    <n v="70"/>
    <n v="0"/>
    <n v="17"/>
    <n v="0"/>
    <n v="0"/>
    <n v="6"/>
    <n v="2"/>
    <n v="2"/>
    <n v="1"/>
    <n v="3"/>
    <n v="6"/>
    <x v="0"/>
    <x v="0"/>
    <x v="0"/>
    <x v="0"/>
    <x v="0"/>
    <n v="0"/>
    <n v="3"/>
    <n v="11"/>
    <x v="1"/>
  </r>
  <r>
    <n v="4964"/>
    <n v="1958"/>
    <x v="1"/>
    <s v="Together"/>
    <n v="74250"/>
    <n v="0"/>
    <n v="0"/>
    <d v="2014-01-26T00:00:00"/>
    <n v="90"/>
    <n v="680"/>
    <n v="11"/>
    <n v="392"/>
    <n v="75"/>
    <n v="0"/>
    <n v="0"/>
    <n v="1"/>
    <n v="2"/>
    <n v="11"/>
    <n v="4"/>
    <n v="1"/>
    <x v="0"/>
    <x v="0"/>
    <x v="0"/>
    <x v="0"/>
    <x v="0"/>
    <n v="0"/>
    <n v="3"/>
    <n v="11"/>
    <x v="1"/>
  </r>
  <r>
    <n v="2461"/>
    <n v="1955"/>
    <x v="2"/>
    <s v="Single"/>
    <n v="51124"/>
    <n v="1"/>
    <n v="1"/>
    <d v="2013-12-18T00:00:00"/>
    <n v="79"/>
    <n v="26"/>
    <n v="1"/>
    <n v="11"/>
    <n v="0"/>
    <n v="1"/>
    <n v="4"/>
    <n v="2"/>
    <n v="1"/>
    <n v="0"/>
    <n v="3"/>
    <n v="3"/>
    <x v="0"/>
    <x v="0"/>
    <x v="0"/>
    <x v="0"/>
    <x v="0"/>
    <n v="0"/>
    <n v="3"/>
    <n v="11"/>
    <x v="1"/>
  </r>
  <r>
    <n v="10736"/>
    <n v="1971"/>
    <x v="0"/>
    <s v="Single"/>
    <n v="72258"/>
    <n v="0"/>
    <n v="1"/>
    <d v="2013-09-12T00:00:00"/>
    <n v="28"/>
    <n v="522"/>
    <n v="0"/>
    <n v="522"/>
    <n v="227"/>
    <n v="120"/>
    <n v="134"/>
    <n v="2"/>
    <n v="6"/>
    <n v="9"/>
    <n v="5"/>
    <n v="2"/>
    <x v="0"/>
    <x v="0"/>
    <x v="0"/>
    <x v="0"/>
    <x v="0"/>
    <n v="0"/>
    <n v="3"/>
    <n v="11"/>
    <x v="1"/>
  </r>
  <r>
    <n v="3194"/>
    <n v="1974"/>
    <x v="1"/>
    <s v="Single"/>
    <n v="71466"/>
    <n v="0"/>
    <n v="0"/>
    <d v="2014-04-05T00:00:00"/>
    <n v="86"/>
    <n v="412"/>
    <n v="12"/>
    <n v="546"/>
    <n v="78"/>
    <n v="182"/>
    <n v="0"/>
    <n v="1"/>
    <n v="4"/>
    <n v="4"/>
    <n v="10"/>
    <n v="1"/>
    <x v="0"/>
    <x v="0"/>
    <x v="0"/>
    <x v="0"/>
    <x v="0"/>
    <n v="0"/>
    <n v="3"/>
    <n v="11"/>
    <x v="1"/>
  </r>
  <r>
    <n v="10839"/>
    <n v="1976"/>
    <x v="0"/>
    <s v="Together"/>
    <n v="36283"/>
    <n v="1"/>
    <n v="1"/>
    <d v="2014-04-14T00:00:00"/>
    <n v="42"/>
    <n v="6"/>
    <n v="5"/>
    <n v="5"/>
    <n v="8"/>
    <n v="0"/>
    <n v="5"/>
    <n v="2"/>
    <n v="1"/>
    <n v="0"/>
    <n v="3"/>
    <n v="4"/>
    <x v="0"/>
    <x v="0"/>
    <x v="0"/>
    <x v="0"/>
    <x v="0"/>
    <n v="0"/>
    <n v="3"/>
    <n v="11"/>
    <x v="1"/>
  </r>
  <r>
    <n v="49"/>
    <n v="1970"/>
    <x v="0"/>
    <s v="Single"/>
    <n v="20587"/>
    <n v="1"/>
    <n v="0"/>
    <d v="2014-05-11T00:00:00"/>
    <n v="39"/>
    <n v="2"/>
    <n v="3"/>
    <n v="6"/>
    <n v="4"/>
    <n v="1"/>
    <n v="9"/>
    <n v="1"/>
    <n v="1"/>
    <n v="1"/>
    <n v="2"/>
    <n v="7"/>
    <x v="0"/>
    <x v="0"/>
    <x v="0"/>
    <x v="0"/>
    <x v="0"/>
    <n v="0"/>
    <n v="3"/>
    <n v="11"/>
    <x v="1"/>
  </r>
  <r>
    <n v="4290"/>
    <n v="1972"/>
    <x v="0"/>
    <s v="Married"/>
    <n v="30467"/>
    <n v="1"/>
    <n v="0"/>
    <d v="2014-03-19T00:00:00"/>
    <n v="8"/>
    <n v="1"/>
    <n v="3"/>
    <n v="8"/>
    <n v="2"/>
    <n v="5"/>
    <n v="5"/>
    <n v="1"/>
    <n v="1"/>
    <n v="0"/>
    <n v="2"/>
    <n v="7"/>
    <x v="0"/>
    <x v="0"/>
    <x v="0"/>
    <x v="0"/>
    <x v="0"/>
    <n v="0"/>
    <n v="3"/>
    <n v="11"/>
    <x v="1"/>
  </r>
  <r>
    <n v="10219"/>
    <n v="1972"/>
    <x v="0"/>
    <s v="Together"/>
    <n v="31590"/>
    <n v="1"/>
    <n v="0"/>
    <d v="2013-06-18T00:00:00"/>
    <n v="40"/>
    <n v="6"/>
    <n v="2"/>
    <n v="15"/>
    <n v="6"/>
    <n v="6"/>
    <n v="3"/>
    <n v="1"/>
    <n v="1"/>
    <n v="0"/>
    <n v="3"/>
    <n v="8"/>
    <x v="0"/>
    <x v="0"/>
    <x v="0"/>
    <x v="0"/>
    <x v="0"/>
    <n v="0"/>
    <n v="3"/>
    <n v="11"/>
    <x v="1"/>
  </r>
  <r>
    <n v="4211"/>
    <n v="1986"/>
    <x v="3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x v="0"/>
    <x v="0"/>
    <x v="0"/>
    <x v="0"/>
    <x v="0"/>
    <n v="0"/>
    <n v="3"/>
    <n v="11"/>
    <x v="1"/>
  </r>
  <r>
    <n v="1135"/>
    <n v="1960"/>
    <x v="2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x v="0"/>
    <x v="0"/>
    <x v="0"/>
    <x v="0"/>
    <x v="0"/>
    <n v="0"/>
    <n v="3"/>
    <n v="11"/>
    <x v="1"/>
  </r>
  <r>
    <n v="6299"/>
    <n v="1968"/>
    <x v="1"/>
    <s v="Divorced"/>
    <n v="42564"/>
    <n v="0"/>
    <n v="1"/>
    <d v="2013-01-02T00:00:00"/>
    <n v="28"/>
    <n v="324"/>
    <n v="48"/>
    <n v="186"/>
    <n v="39"/>
    <n v="18"/>
    <n v="198"/>
    <n v="6"/>
    <n v="6"/>
    <n v="8"/>
    <n v="4"/>
    <n v="7"/>
    <x v="1"/>
    <x v="0"/>
    <x v="0"/>
    <x v="0"/>
    <x v="0"/>
    <n v="0"/>
    <n v="3"/>
    <n v="11"/>
    <x v="0"/>
  </r>
  <r>
    <n v="10846"/>
    <n v="1978"/>
    <x v="2"/>
    <s v="Married"/>
    <n v="43783"/>
    <n v="1"/>
    <n v="0"/>
    <d v="2014-05-29T00:00:00"/>
    <n v="22"/>
    <n v="327"/>
    <n v="9"/>
    <n v="125"/>
    <n v="25"/>
    <n v="4"/>
    <n v="139"/>
    <n v="6"/>
    <n v="7"/>
    <n v="1"/>
    <n v="8"/>
    <n v="7"/>
    <x v="1"/>
    <x v="0"/>
    <x v="0"/>
    <x v="0"/>
    <x v="0"/>
    <n v="0"/>
    <n v="3"/>
    <n v="11"/>
    <x v="1"/>
  </r>
  <r>
    <n v="347"/>
    <n v="1976"/>
    <x v="0"/>
    <s v="Divorced"/>
    <n v="40780"/>
    <n v="0"/>
    <n v="1"/>
    <d v="2012-09-08T00:00:00"/>
    <n v="30"/>
    <n v="229"/>
    <n v="27"/>
    <n v="71"/>
    <n v="13"/>
    <n v="3"/>
    <n v="34"/>
    <n v="4"/>
    <n v="7"/>
    <n v="1"/>
    <n v="5"/>
    <n v="9"/>
    <x v="0"/>
    <x v="0"/>
    <x v="0"/>
    <x v="0"/>
    <x v="0"/>
    <n v="0"/>
    <n v="3"/>
    <n v="11"/>
    <x v="1"/>
  </r>
  <r>
    <n v="6543"/>
    <n v="1945"/>
    <x v="2"/>
    <s v="Together"/>
    <n v="62847"/>
    <n v="0"/>
    <n v="0"/>
    <d v="2013-01-15T00:00:00"/>
    <n v="45"/>
    <n v="521"/>
    <n v="168"/>
    <n v="706"/>
    <n v="80"/>
    <n v="76"/>
    <n v="61"/>
    <n v="1"/>
    <n v="3"/>
    <n v="6"/>
    <n v="4"/>
    <n v="2"/>
    <x v="0"/>
    <x v="0"/>
    <x v="0"/>
    <x v="0"/>
    <x v="0"/>
    <n v="0"/>
    <n v="3"/>
    <n v="11"/>
    <x v="1"/>
  </r>
  <r>
    <n v="10446"/>
    <n v="1957"/>
    <x v="1"/>
    <s v="Married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x v="0"/>
    <x v="1"/>
    <x v="1"/>
    <x v="1"/>
    <x v="0"/>
    <n v="0"/>
    <n v="3"/>
    <n v="11"/>
    <x v="0"/>
  </r>
  <r>
    <n v="3479"/>
    <n v="1950"/>
    <x v="0"/>
    <s v="Single"/>
    <n v="16813"/>
    <n v="0"/>
    <n v="0"/>
    <d v="2013-07-19T00:00:00"/>
    <n v="49"/>
    <n v="4"/>
    <n v="8"/>
    <n v="11"/>
    <n v="12"/>
    <n v="2"/>
    <n v="13"/>
    <n v="1"/>
    <n v="2"/>
    <n v="0"/>
    <n v="3"/>
    <n v="7"/>
    <x v="1"/>
    <x v="0"/>
    <x v="0"/>
    <x v="0"/>
    <x v="0"/>
    <n v="0"/>
    <n v="3"/>
    <n v="11"/>
    <x v="1"/>
  </r>
  <r>
    <n v="11075"/>
    <n v="1978"/>
    <x v="0"/>
    <s v="Married"/>
    <n v="51267"/>
    <n v="1"/>
    <n v="1"/>
    <d v="2013-10-29T00:00:00"/>
    <n v="37"/>
    <n v="183"/>
    <n v="2"/>
    <n v="64"/>
    <n v="7"/>
    <n v="2"/>
    <n v="12"/>
    <n v="4"/>
    <n v="3"/>
    <n v="3"/>
    <n v="5"/>
    <n v="4"/>
    <x v="0"/>
    <x v="0"/>
    <x v="0"/>
    <x v="0"/>
    <x v="0"/>
    <n v="0"/>
    <n v="3"/>
    <n v="11"/>
    <x v="1"/>
  </r>
  <r>
    <n v="4442"/>
    <n v="1961"/>
    <x v="0"/>
    <s v="Single"/>
    <n v="46524"/>
    <n v="0"/>
    <n v="1"/>
    <d v="2013-04-05T00:00:00"/>
    <n v="70"/>
    <n v="31"/>
    <n v="19"/>
    <n v="35"/>
    <n v="26"/>
    <n v="14"/>
    <n v="52"/>
    <n v="2"/>
    <n v="1"/>
    <n v="1"/>
    <n v="5"/>
    <n v="3"/>
    <x v="0"/>
    <x v="0"/>
    <x v="0"/>
    <x v="0"/>
    <x v="0"/>
    <n v="0"/>
    <n v="3"/>
    <n v="11"/>
    <x v="1"/>
  </r>
  <r>
    <n v="199"/>
    <n v="1962"/>
    <x v="2"/>
    <s v="Single"/>
    <n v="45183"/>
    <n v="0"/>
    <n v="0"/>
    <d v="2013-01-20T00:00:00"/>
    <n v="33"/>
    <n v="219"/>
    <n v="3"/>
    <n v="60"/>
    <n v="12"/>
    <n v="9"/>
    <n v="12"/>
    <n v="1"/>
    <n v="4"/>
    <n v="1"/>
    <n v="7"/>
    <n v="7"/>
    <x v="0"/>
    <x v="1"/>
    <x v="0"/>
    <x v="0"/>
    <x v="0"/>
    <n v="0"/>
    <n v="3"/>
    <n v="11"/>
    <x v="1"/>
  </r>
  <r>
    <n v="6722"/>
    <n v="1954"/>
    <x v="1"/>
    <s v="Married"/>
    <n v="70421"/>
    <n v="0"/>
    <n v="1"/>
    <d v="2014-06-28T00:00:00"/>
    <n v="98"/>
    <n v="479"/>
    <n v="28"/>
    <n v="136"/>
    <n v="75"/>
    <n v="14"/>
    <n v="35"/>
    <n v="3"/>
    <n v="10"/>
    <n v="3"/>
    <n v="7"/>
    <n v="6"/>
    <x v="0"/>
    <x v="0"/>
    <x v="0"/>
    <x v="0"/>
    <x v="0"/>
    <n v="0"/>
    <n v="3"/>
    <n v="11"/>
    <x v="1"/>
  </r>
  <r>
    <n v="796"/>
    <n v="1965"/>
    <x v="4"/>
    <s v="Divorced"/>
    <n v="60161"/>
    <n v="0"/>
    <n v="1"/>
    <d v="2012-10-23T00:00:00"/>
    <n v="17"/>
    <n v="584"/>
    <n v="44"/>
    <n v="212"/>
    <n v="46"/>
    <n v="8"/>
    <n v="177"/>
    <n v="3"/>
    <n v="11"/>
    <n v="4"/>
    <n v="8"/>
    <n v="8"/>
    <x v="0"/>
    <x v="0"/>
    <x v="0"/>
    <x v="0"/>
    <x v="0"/>
    <n v="0"/>
    <n v="3"/>
    <n v="11"/>
    <x v="1"/>
  </r>
  <r>
    <n v="3749"/>
    <n v="1973"/>
    <x v="0"/>
    <s v="Together"/>
    <n v="73926"/>
    <n v="0"/>
    <n v="0"/>
    <d v="2013-03-02T00:00:00"/>
    <n v="54"/>
    <n v="627"/>
    <n v="91"/>
    <n v="597"/>
    <n v="159"/>
    <n v="91"/>
    <n v="15"/>
    <n v="1"/>
    <n v="6"/>
    <n v="5"/>
    <n v="12"/>
    <n v="3"/>
    <x v="0"/>
    <x v="0"/>
    <x v="0"/>
    <x v="0"/>
    <x v="0"/>
    <n v="0"/>
    <n v="3"/>
    <n v="11"/>
    <x v="1"/>
  </r>
  <r>
    <n v="8523"/>
    <n v="1968"/>
    <x v="0"/>
    <s v="Married"/>
    <n v="19329"/>
    <n v="1"/>
    <n v="0"/>
    <d v="2013-12-14T00:00:00"/>
    <n v="39"/>
    <n v="24"/>
    <n v="1"/>
    <n v="16"/>
    <n v="12"/>
    <n v="2"/>
    <n v="5"/>
    <n v="3"/>
    <n v="4"/>
    <n v="0"/>
    <n v="3"/>
    <n v="8"/>
    <x v="0"/>
    <x v="0"/>
    <x v="0"/>
    <x v="0"/>
    <x v="0"/>
    <n v="0"/>
    <n v="3"/>
    <n v="11"/>
    <x v="1"/>
  </r>
  <r>
    <n v="310"/>
    <n v="1970"/>
    <x v="2"/>
    <s v="Married"/>
    <n v="61872"/>
    <n v="0"/>
    <n v="1"/>
    <d v="2013-12-13T00:00:00"/>
    <n v="81"/>
    <n v="330"/>
    <n v="5"/>
    <n v="159"/>
    <n v="36"/>
    <n v="27"/>
    <n v="16"/>
    <n v="4"/>
    <n v="4"/>
    <n v="4"/>
    <n v="9"/>
    <n v="4"/>
    <x v="0"/>
    <x v="0"/>
    <x v="0"/>
    <x v="0"/>
    <x v="0"/>
    <n v="0"/>
    <n v="3"/>
    <n v="11"/>
    <x v="1"/>
  </r>
  <r>
    <n v="8629"/>
    <n v="1956"/>
    <x v="0"/>
    <s v="Widow"/>
    <n v="46984"/>
    <n v="1"/>
    <n v="1"/>
    <d v="2013-03-26T00:00:00"/>
    <n v="71"/>
    <n v="19"/>
    <n v="1"/>
    <n v="10"/>
    <n v="2"/>
    <n v="1"/>
    <n v="8"/>
    <n v="1"/>
    <n v="1"/>
    <n v="0"/>
    <n v="3"/>
    <n v="5"/>
    <x v="0"/>
    <x v="0"/>
    <x v="0"/>
    <x v="0"/>
    <x v="0"/>
    <n v="0"/>
    <n v="3"/>
    <n v="11"/>
    <x v="1"/>
  </r>
  <r>
    <n v="236"/>
    <n v="1951"/>
    <x v="0"/>
    <s v="Married"/>
    <n v="34838"/>
    <n v="1"/>
    <n v="1"/>
    <d v="2013-01-19T00:00:00"/>
    <n v="62"/>
    <n v="28"/>
    <n v="23"/>
    <n v="29"/>
    <n v="29"/>
    <n v="14"/>
    <n v="47"/>
    <n v="3"/>
    <n v="2"/>
    <n v="1"/>
    <n v="4"/>
    <n v="6"/>
    <x v="0"/>
    <x v="0"/>
    <x v="0"/>
    <x v="0"/>
    <x v="0"/>
    <n v="0"/>
    <n v="3"/>
    <n v="11"/>
    <x v="1"/>
  </r>
  <r>
    <n v="9930"/>
    <n v="1944"/>
    <x v="1"/>
    <s v="Single"/>
    <n v="82716"/>
    <n v="0"/>
    <n v="0"/>
    <d v="2013-11-05T00:00:00"/>
    <n v="8"/>
    <n v="606"/>
    <n v="148"/>
    <n v="228"/>
    <n v="15"/>
    <n v="148"/>
    <n v="22"/>
    <n v="1"/>
    <n v="6"/>
    <n v="8"/>
    <n v="13"/>
    <n v="2"/>
    <x v="0"/>
    <x v="0"/>
    <x v="0"/>
    <x v="0"/>
    <x v="0"/>
    <n v="0"/>
    <n v="3"/>
    <n v="11"/>
    <x v="1"/>
  </r>
  <r>
    <n v="3483"/>
    <n v="1958"/>
    <x v="0"/>
    <s v="Married"/>
    <n v="48192"/>
    <n v="0"/>
    <n v="0"/>
    <d v="2013-04-06T00:00:00"/>
    <n v="76"/>
    <n v="1039"/>
    <n v="43"/>
    <n v="204"/>
    <n v="153"/>
    <n v="58"/>
    <n v="29"/>
    <n v="3"/>
    <n v="2"/>
    <n v="8"/>
    <n v="12"/>
    <n v="8"/>
    <x v="0"/>
    <x v="1"/>
    <x v="0"/>
    <x v="1"/>
    <x v="1"/>
    <n v="0"/>
    <n v="3"/>
    <n v="11"/>
    <x v="0"/>
  </r>
  <r>
    <n v="4599"/>
    <n v="1976"/>
    <x v="2"/>
    <s v="Married"/>
    <n v="49681"/>
    <n v="0"/>
    <n v="2"/>
    <d v="2013-11-04T00:00:00"/>
    <n v="66"/>
    <n v="411"/>
    <n v="0"/>
    <n v="26"/>
    <n v="0"/>
    <n v="0"/>
    <n v="21"/>
    <n v="6"/>
    <n v="7"/>
    <n v="1"/>
    <n v="7"/>
    <n v="7"/>
    <x v="0"/>
    <x v="0"/>
    <x v="0"/>
    <x v="0"/>
    <x v="0"/>
    <n v="0"/>
    <n v="3"/>
    <n v="11"/>
    <x v="1"/>
  </r>
  <r>
    <n v="7326"/>
    <n v="1971"/>
    <x v="2"/>
    <s v="Married"/>
    <n v="56850"/>
    <n v="0"/>
    <n v="1"/>
    <d v="2014-03-23T00:00:00"/>
    <n v="83"/>
    <n v="34"/>
    <n v="1"/>
    <n v="19"/>
    <n v="2"/>
    <n v="7"/>
    <n v="0"/>
    <n v="1"/>
    <n v="1"/>
    <n v="1"/>
    <n v="3"/>
    <n v="2"/>
    <x v="0"/>
    <x v="0"/>
    <x v="0"/>
    <x v="0"/>
    <x v="0"/>
    <n v="0"/>
    <n v="3"/>
    <n v="11"/>
    <x v="1"/>
  </r>
  <r>
    <n v="7352"/>
    <n v="1957"/>
    <x v="0"/>
    <s v="Married"/>
    <n v="55267"/>
    <n v="0"/>
    <n v="1"/>
    <d v="2013-10-21T00:00:00"/>
    <n v="28"/>
    <n v="161"/>
    <n v="28"/>
    <n v="136"/>
    <n v="32"/>
    <n v="3"/>
    <n v="45"/>
    <n v="4"/>
    <n v="3"/>
    <n v="4"/>
    <n v="6"/>
    <n v="3"/>
    <x v="0"/>
    <x v="0"/>
    <x v="0"/>
    <x v="0"/>
    <x v="0"/>
    <n v="0"/>
    <n v="3"/>
    <n v="11"/>
    <x v="1"/>
  </r>
  <r>
    <n v="2350"/>
    <n v="1972"/>
    <x v="0"/>
    <s v="Married"/>
    <n v="59666"/>
    <n v="1"/>
    <n v="1"/>
    <d v="2013-03-22T00:00:00"/>
    <n v="87"/>
    <n v="623"/>
    <n v="53"/>
    <n v="178"/>
    <n v="23"/>
    <n v="17"/>
    <n v="133"/>
    <n v="7"/>
    <n v="3"/>
    <n v="2"/>
    <n v="8"/>
    <n v="8"/>
    <x v="0"/>
    <x v="1"/>
    <x v="0"/>
    <x v="0"/>
    <x v="0"/>
    <n v="0"/>
    <n v="3"/>
    <n v="11"/>
    <x v="1"/>
  </r>
  <r>
    <n v="9145"/>
    <n v="1972"/>
    <x v="0"/>
    <s v="Single"/>
    <n v="72504"/>
    <n v="0"/>
    <n v="1"/>
    <d v="2013-04-06T00:00:00"/>
    <n v="43"/>
    <n v="604"/>
    <n v="26"/>
    <n v="470"/>
    <n v="123"/>
    <n v="161"/>
    <n v="94"/>
    <n v="2"/>
    <n v="5"/>
    <n v="9"/>
    <n v="6"/>
    <n v="2"/>
    <x v="0"/>
    <x v="0"/>
    <x v="0"/>
    <x v="0"/>
    <x v="0"/>
    <n v="0"/>
    <n v="3"/>
    <n v="11"/>
    <x v="1"/>
  </r>
  <r>
    <n v="2964"/>
    <n v="1981"/>
    <x v="0"/>
    <s v="Married"/>
    <n v="26872"/>
    <n v="0"/>
    <n v="0"/>
    <d v="2013-10-16T00:00:00"/>
    <n v="0"/>
    <n v="3"/>
    <n v="10"/>
    <n v="8"/>
    <n v="3"/>
    <n v="16"/>
    <n v="32"/>
    <n v="1"/>
    <n v="1"/>
    <n v="1"/>
    <n v="2"/>
    <n v="6"/>
    <x v="0"/>
    <x v="0"/>
    <x v="0"/>
    <x v="0"/>
    <x v="0"/>
    <n v="0"/>
    <n v="3"/>
    <n v="11"/>
    <x v="1"/>
  </r>
  <r>
    <n v="5585"/>
    <n v="1972"/>
    <x v="0"/>
    <s v="Single"/>
    <n v="21359"/>
    <n v="1"/>
    <n v="0"/>
    <d v="2013-04-20T00:00:00"/>
    <n v="1"/>
    <n v="12"/>
    <n v="2"/>
    <n v="17"/>
    <n v="6"/>
    <n v="1"/>
    <n v="10"/>
    <n v="2"/>
    <n v="2"/>
    <n v="0"/>
    <n v="3"/>
    <n v="8"/>
    <x v="0"/>
    <x v="0"/>
    <x v="0"/>
    <x v="0"/>
    <x v="0"/>
    <n v="0"/>
    <n v="3"/>
    <n v="11"/>
    <x v="0"/>
  </r>
  <r>
    <n v="9687"/>
    <n v="1975"/>
    <x v="0"/>
    <s v="Single"/>
    <n v="73170"/>
    <n v="0"/>
    <n v="0"/>
    <d v="2014-05-31T00:00:00"/>
    <n v="1"/>
    <n v="184"/>
    <n v="174"/>
    <n v="256"/>
    <n v="50"/>
    <n v="30"/>
    <n v="32"/>
    <n v="1"/>
    <n v="5"/>
    <n v="4"/>
    <n v="6"/>
    <n v="2"/>
    <x v="0"/>
    <x v="0"/>
    <x v="0"/>
    <x v="0"/>
    <x v="0"/>
    <n v="0"/>
    <n v="3"/>
    <n v="11"/>
    <x v="1"/>
  </r>
  <r>
    <n v="3732"/>
    <n v="1955"/>
    <x v="2"/>
    <s v="Married"/>
    <n v="52750"/>
    <n v="0"/>
    <n v="1"/>
    <d v="2013-02-04T00:00:00"/>
    <n v="72"/>
    <n v="393"/>
    <n v="0"/>
    <n v="239"/>
    <n v="90"/>
    <n v="69"/>
    <n v="69"/>
    <n v="6"/>
    <n v="5"/>
    <n v="7"/>
    <n v="9"/>
    <n v="4"/>
    <x v="0"/>
    <x v="0"/>
    <x v="0"/>
    <x v="0"/>
    <x v="0"/>
    <n v="0"/>
    <n v="3"/>
    <n v="11"/>
    <x v="1"/>
  </r>
  <r>
    <n v="6303"/>
    <n v="1986"/>
    <x v="1"/>
    <s v="Together"/>
    <n v="91820"/>
    <n v="0"/>
    <n v="0"/>
    <d v="2013-11-23T00:00:00"/>
    <n v="72"/>
    <n v="410"/>
    <n v="73"/>
    <n v="747"/>
    <n v="76"/>
    <n v="161"/>
    <n v="30"/>
    <n v="0"/>
    <n v="5"/>
    <n v="5"/>
    <n v="12"/>
    <n v="1"/>
    <x v="0"/>
    <x v="0"/>
    <x v="0"/>
    <x v="0"/>
    <x v="0"/>
    <n v="0"/>
    <n v="3"/>
    <n v="11"/>
    <x v="1"/>
  </r>
  <r>
    <n v="11176"/>
    <n v="1970"/>
    <x v="1"/>
    <s v="Together"/>
    <n v="65968"/>
    <n v="0"/>
    <n v="1"/>
    <d v="2014-05-12T00:00:00"/>
    <n v="12"/>
    <n v="376"/>
    <n v="9"/>
    <n v="83"/>
    <n v="19"/>
    <n v="4"/>
    <n v="4"/>
    <n v="2"/>
    <n v="5"/>
    <n v="4"/>
    <n v="7"/>
    <n v="3"/>
    <x v="0"/>
    <x v="0"/>
    <x v="0"/>
    <x v="0"/>
    <x v="0"/>
    <n v="0"/>
    <n v="3"/>
    <n v="11"/>
    <x v="1"/>
  </r>
  <r>
    <n v="2986"/>
    <n v="1976"/>
    <x v="0"/>
    <s v="Married"/>
    <n v="30772"/>
    <n v="1"/>
    <n v="1"/>
    <d v="2014-03-12T00:00:00"/>
    <n v="89"/>
    <n v="7"/>
    <n v="2"/>
    <n v="4"/>
    <n v="2"/>
    <n v="1"/>
    <n v="4"/>
    <n v="1"/>
    <n v="1"/>
    <n v="0"/>
    <n v="2"/>
    <n v="6"/>
    <x v="0"/>
    <x v="0"/>
    <x v="0"/>
    <x v="0"/>
    <x v="0"/>
    <n v="0"/>
    <n v="3"/>
    <n v="11"/>
    <x v="1"/>
  </r>
  <r>
    <n v="7462"/>
    <n v="1954"/>
    <x v="0"/>
    <s v="Single"/>
    <n v="22507"/>
    <n v="0"/>
    <n v="0"/>
    <d v="2012-11-24T00:00:00"/>
    <n v="67"/>
    <n v="68"/>
    <n v="0"/>
    <n v="226"/>
    <n v="51"/>
    <n v="157"/>
    <n v="68"/>
    <n v="3"/>
    <n v="10"/>
    <n v="2"/>
    <n v="4"/>
    <n v="9"/>
    <x v="0"/>
    <x v="0"/>
    <x v="0"/>
    <x v="0"/>
    <x v="0"/>
    <n v="0"/>
    <n v="3"/>
    <n v="11"/>
    <x v="1"/>
  </r>
  <r>
    <n v="3900"/>
    <n v="1972"/>
    <x v="0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x v="0"/>
    <x v="0"/>
    <x v="0"/>
    <x v="0"/>
    <x v="0"/>
    <n v="0"/>
    <n v="3"/>
    <n v="11"/>
    <x v="1"/>
  </r>
  <r>
    <n v="7034"/>
    <n v="1978"/>
    <x v="4"/>
    <s v="Married"/>
    <n v="25804"/>
    <n v="1"/>
    <n v="0"/>
    <d v="2013-09-01T00:00:00"/>
    <n v="34"/>
    <n v="8"/>
    <n v="7"/>
    <n v="9"/>
    <n v="13"/>
    <n v="6"/>
    <n v="12"/>
    <n v="2"/>
    <n v="2"/>
    <n v="0"/>
    <n v="3"/>
    <n v="8"/>
    <x v="0"/>
    <x v="0"/>
    <x v="0"/>
    <x v="0"/>
    <x v="0"/>
    <n v="0"/>
    <n v="3"/>
    <n v="11"/>
    <x v="1"/>
  </r>
  <r>
    <n v="9493"/>
    <n v="1980"/>
    <x v="1"/>
    <s v="Single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x v="0"/>
    <x v="0"/>
    <x v="1"/>
    <x v="1"/>
    <x v="0"/>
    <n v="0"/>
    <n v="3"/>
    <n v="11"/>
    <x v="0"/>
  </r>
  <r>
    <n v="1143"/>
    <n v="1972"/>
    <x v="0"/>
    <s v="Married"/>
    <n v="22063"/>
    <n v="1"/>
    <n v="0"/>
    <d v="2013-08-08T00:00:00"/>
    <n v="43"/>
    <n v="7"/>
    <n v="10"/>
    <n v="13"/>
    <n v="3"/>
    <n v="11"/>
    <n v="11"/>
    <n v="2"/>
    <n v="2"/>
    <n v="0"/>
    <n v="3"/>
    <n v="7"/>
    <x v="0"/>
    <x v="0"/>
    <x v="0"/>
    <x v="0"/>
    <x v="0"/>
    <n v="0"/>
    <n v="3"/>
    <n v="11"/>
    <x v="1"/>
  </r>
  <r>
    <n v="1"/>
    <n v="1961"/>
    <x v="0"/>
    <s v="Single"/>
    <n v="57091"/>
    <n v="0"/>
    <n v="0"/>
    <d v="2014-06-15T00:00:00"/>
    <n v="0"/>
    <n v="464"/>
    <n v="5"/>
    <n v="64"/>
    <n v="7"/>
    <n v="0"/>
    <n v="37"/>
    <n v="1"/>
    <n v="7"/>
    <n v="3"/>
    <n v="7"/>
    <n v="5"/>
    <x v="0"/>
    <x v="0"/>
    <x v="0"/>
    <x v="0"/>
    <x v="1"/>
    <n v="0"/>
    <n v="3"/>
    <n v="11"/>
    <x v="0"/>
  </r>
  <r>
    <n v="3855"/>
    <n v="1963"/>
    <x v="0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x v="0"/>
    <x v="0"/>
    <x v="0"/>
    <x v="0"/>
    <x v="0"/>
    <n v="0"/>
    <n v="3"/>
    <n v="11"/>
    <x v="1"/>
  </r>
  <r>
    <n v="5536"/>
    <n v="1959"/>
    <x v="0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x v="0"/>
    <x v="1"/>
    <x v="1"/>
    <x v="1"/>
    <x v="1"/>
    <n v="0"/>
    <n v="3"/>
    <n v="11"/>
    <x v="0"/>
  </r>
  <r>
    <n v="5989"/>
    <n v="1959"/>
    <x v="4"/>
    <s v="Divorced"/>
    <n v="78353"/>
    <n v="0"/>
    <n v="1"/>
    <d v="2013-04-16T00:00:00"/>
    <n v="51"/>
    <n v="752"/>
    <n v="122"/>
    <n v="476"/>
    <n v="39"/>
    <n v="153"/>
    <n v="34"/>
    <n v="1"/>
    <n v="10"/>
    <n v="2"/>
    <n v="11"/>
    <n v="8"/>
    <x v="0"/>
    <x v="0"/>
    <x v="0"/>
    <x v="0"/>
    <x v="0"/>
    <n v="0"/>
    <n v="3"/>
    <n v="11"/>
    <x v="1"/>
  </r>
  <r>
    <n v="9499"/>
    <n v="1954"/>
    <x v="0"/>
    <s v="Married"/>
    <n v="93404"/>
    <n v="1"/>
    <n v="2"/>
    <d v="2013-05-07T00:00:00"/>
    <n v="97"/>
    <n v="1279"/>
    <n v="15"/>
    <n v="287"/>
    <n v="20"/>
    <n v="0"/>
    <n v="15"/>
    <n v="3"/>
    <n v="3"/>
    <n v="4"/>
    <n v="7"/>
    <n v="5"/>
    <x v="0"/>
    <x v="1"/>
    <x v="1"/>
    <x v="0"/>
    <x v="0"/>
    <n v="0"/>
    <n v="3"/>
    <n v="11"/>
    <x v="1"/>
  </r>
  <r>
    <n v="6768"/>
    <n v="1962"/>
    <x v="0"/>
    <s v="Divorced"/>
    <n v="37859"/>
    <n v="1"/>
    <n v="2"/>
    <d v="2013-01-12T00:00:00"/>
    <n v="75"/>
    <n v="22"/>
    <n v="1"/>
    <n v="8"/>
    <n v="2"/>
    <n v="1"/>
    <n v="2"/>
    <n v="2"/>
    <n v="1"/>
    <n v="0"/>
    <n v="3"/>
    <n v="8"/>
    <x v="0"/>
    <x v="0"/>
    <x v="0"/>
    <x v="0"/>
    <x v="0"/>
    <n v="0"/>
    <n v="3"/>
    <n v="11"/>
    <x v="1"/>
  </r>
  <r>
    <n v="2150"/>
    <n v="1958"/>
    <x v="1"/>
    <s v="Widow"/>
    <n v="80995"/>
    <n v="0"/>
    <n v="1"/>
    <d v="2013-05-11T00:00:00"/>
    <n v="83"/>
    <n v="860"/>
    <n v="28"/>
    <n v="409"/>
    <n v="73"/>
    <n v="56"/>
    <n v="56"/>
    <n v="1"/>
    <n v="8"/>
    <n v="9"/>
    <n v="4"/>
    <n v="4"/>
    <x v="0"/>
    <x v="0"/>
    <x v="0"/>
    <x v="0"/>
    <x v="0"/>
    <n v="0"/>
    <n v="3"/>
    <n v="11"/>
    <x v="1"/>
  </r>
  <r>
    <n v="6646"/>
    <n v="1984"/>
    <x v="0"/>
    <s v="Together"/>
    <n v="16529"/>
    <n v="1"/>
    <n v="0"/>
    <d v="2014-03-01T00:00:00"/>
    <n v="23"/>
    <n v="3"/>
    <n v="0"/>
    <n v="5"/>
    <n v="13"/>
    <n v="0"/>
    <n v="1"/>
    <n v="1"/>
    <n v="1"/>
    <n v="0"/>
    <n v="3"/>
    <n v="6"/>
    <x v="0"/>
    <x v="0"/>
    <x v="0"/>
    <x v="0"/>
    <x v="0"/>
    <n v="0"/>
    <n v="3"/>
    <n v="11"/>
    <x v="1"/>
  </r>
  <r>
    <n v="4887"/>
    <n v="1976"/>
    <x v="1"/>
    <s v="Divorced"/>
    <n v="55412"/>
    <n v="1"/>
    <n v="1"/>
    <d v="2013-11-22T00:00:00"/>
    <n v="65"/>
    <n v="10"/>
    <n v="5"/>
    <n v="28"/>
    <n v="11"/>
    <n v="1"/>
    <n v="8"/>
    <n v="1"/>
    <n v="2"/>
    <n v="0"/>
    <n v="3"/>
    <n v="5"/>
    <x v="0"/>
    <x v="0"/>
    <x v="0"/>
    <x v="0"/>
    <x v="0"/>
    <n v="0"/>
    <n v="3"/>
    <n v="11"/>
    <x v="1"/>
  </r>
  <r>
    <n v="8560"/>
    <n v="1992"/>
    <x v="0"/>
    <s v="Single"/>
    <n v="48789"/>
    <n v="0"/>
    <n v="0"/>
    <d v="2012-09-10T00:00:00"/>
    <n v="94"/>
    <n v="351"/>
    <n v="16"/>
    <n v="156"/>
    <n v="7"/>
    <n v="5"/>
    <n v="145"/>
    <n v="1"/>
    <n v="6"/>
    <n v="4"/>
    <n v="7"/>
    <n v="6"/>
    <x v="0"/>
    <x v="0"/>
    <x v="0"/>
    <x v="0"/>
    <x v="0"/>
    <n v="0"/>
    <n v="3"/>
    <n v="11"/>
    <x v="1"/>
  </r>
  <r>
    <n v="3321"/>
    <n v="1967"/>
    <x v="1"/>
    <s v="Together"/>
    <n v="56575"/>
    <n v="0"/>
    <n v="2"/>
    <d v="2013-05-05T00:00:00"/>
    <n v="42"/>
    <n v="421"/>
    <n v="5"/>
    <n v="90"/>
    <n v="0"/>
    <n v="16"/>
    <n v="10"/>
    <n v="3"/>
    <n v="7"/>
    <n v="3"/>
    <n v="7"/>
    <n v="5"/>
    <x v="0"/>
    <x v="0"/>
    <x v="0"/>
    <x v="0"/>
    <x v="0"/>
    <n v="0"/>
    <n v="3"/>
    <n v="11"/>
    <x v="1"/>
  </r>
  <r>
    <n v="11003"/>
    <n v="1980"/>
    <x v="4"/>
    <s v="Together"/>
    <n v="25130"/>
    <n v="1"/>
    <n v="0"/>
    <d v="2013-10-02T00:00:00"/>
    <n v="10"/>
    <n v="2"/>
    <n v="5"/>
    <n v="7"/>
    <n v="0"/>
    <n v="18"/>
    <n v="18"/>
    <n v="2"/>
    <n v="2"/>
    <n v="0"/>
    <n v="3"/>
    <n v="7"/>
    <x v="0"/>
    <x v="0"/>
    <x v="0"/>
    <x v="0"/>
    <x v="0"/>
    <n v="0"/>
    <n v="3"/>
    <n v="11"/>
    <x v="1"/>
  </r>
  <r>
    <n v="10402"/>
    <n v="1967"/>
    <x v="0"/>
    <s v="Married"/>
    <n v="35441"/>
    <n v="1"/>
    <n v="1"/>
    <d v="2013-02-14T00:00:00"/>
    <n v="94"/>
    <n v="25"/>
    <n v="1"/>
    <n v="9"/>
    <n v="2"/>
    <n v="1"/>
    <n v="1"/>
    <n v="2"/>
    <n v="1"/>
    <n v="0"/>
    <n v="3"/>
    <n v="8"/>
    <x v="0"/>
    <x v="0"/>
    <x v="0"/>
    <x v="0"/>
    <x v="0"/>
    <n v="0"/>
    <n v="3"/>
    <n v="11"/>
    <x v="1"/>
  </r>
  <r>
    <n v="9904"/>
    <n v="1956"/>
    <x v="0"/>
    <s v="Married"/>
    <n v="71391"/>
    <n v="0"/>
    <n v="1"/>
    <d v="2013-03-29T00:00:00"/>
    <n v="50"/>
    <n v="336"/>
    <n v="123"/>
    <n v="274"/>
    <n v="46"/>
    <n v="123"/>
    <n v="141"/>
    <n v="5"/>
    <n v="6"/>
    <n v="5"/>
    <n v="12"/>
    <n v="3"/>
    <x v="0"/>
    <x v="0"/>
    <x v="0"/>
    <x v="0"/>
    <x v="0"/>
    <n v="0"/>
    <n v="3"/>
    <n v="11"/>
    <x v="1"/>
  </r>
  <r>
    <n v="6141"/>
    <n v="1972"/>
    <x v="2"/>
    <s v="Single"/>
    <n v="49494"/>
    <n v="1"/>
    <n v="0"/>
    <d v="2013-04-25T00:00:00"/>
    <n v="46"/>
    <n v="191"/>
    <n v="9"/>
    <n v="97"/>
    <n v="0"/>
    <n v="6"/>
    <n v="82"/>
    <n v="2"/>
    <n v="6"/>
    <n v="1"/>
    <n v="5"/>
    <n v="7"/>
    <x v="0"/>
    <x v="0"/>
    <x v="0"/>
    <x v="0"/>
    <x v="0"/>
    <n v="0"/>
    <n v="3"/>
    <n v="11"/>
    <x v="1"/>
  </r>
  <r>
    <n v="5687"/>
    <n v="1980"/>
    <x v="0"/>
    <s v="Divorced"/>
    <n v="81702"/>
    <n v="0"/>
    <n v="0"/>
    <d v="2012-09-23T00:00:00"/>
    <n v="98"/>
    <n v="563"/>
    <n v="50"/>
    <n v="774"/>
    <n v="28"/>
    <n v="31"/>
    <n v="187"/>
    <n v="1"/>
    <n v="7"/>
    <n v="7"/>
    <n v="12"/>
    <n v="3"/>
    <x v="0"/>
    <x v="0"/>
    <x v="0"/>
    <x v="0"/>
    <x v="0"/>
    <n v="0"/>
    <n v="3"/>
    <n v="11"/>
    <x v="1"/>
  </r>
  <r>
    <n v="10856"/>
    <n v="1980"/>
    <x v="4"/>
    <s v="Single"/>
    <n v="45889"/>
    <n v="0"/>
    <n v="1"/>
    <d v="2013-07-02T00:00:00"/>
    <n v="42"/>
    <n v="31"/>
    <n v="0"/>
    <n v="6"/>
    <n v="0"/>
    <n v="1"/>
    <n v="8"/>
    <n v="1"/>
    <n v="1"/>
    <n v="0"/>
    <n v="3"/>
    <n v="6"/>
    <x v="0"/>
    <x v="0"/>
    <x v="0"/>
    <x v="0"/>
    <x v="0"/>
    <n v="0"/>
    <n v="3"/>
    <n v="11"/>
    <x v="1"/>
  </r>
  <r>
    <n v="5121"/>
    <n v="1977"/>
    <x v="0"/>
    <s v="Single"/>
    <n v="56628"/>
    <n v="0"/>
    <n v="1"/>
    <d v="2014-03-21T00:00:00"/>
    <n v="30"/>
    <n v="479"/>
    <n v="5"/>
    <n v="82"/>
    <n v="7"/>
    <n v="17"/>
    <n v="171"/>
    <n v="2"/>
    <n v="7"/>
    <n v="6"/>
    <n v="5"/>
    <n v="5"/>
    <x v="1"/>
    <x v="0"/>
    <x v="0"/>
    <x v="0"/>
    <x v="0"/>
    <n v="0"/>
    <n v="3"/>
    <n v="11"/>
    <x v="1"/>
  </r>
  <r>
    <n v="4186"/>
    <n v="1950"/>
    <x v="0"/>
    <s v="Together"/>
    <n v="34026"/>
    <n v="1"/>
    <n v="1"/>
    <d v="2013-08-05T00:00:00"/>
    <n v="11"/>
    <n v="18"/>
    <n v="6"/>
    <n v="15"/>
    <n v="12"/>
    <n v="8"/>
    <n v="17"/>
    <n v="3"/>
    <n v="2"/>
    <n v="1"/>
    <n v="3"/>
    <n v="5"/>
    <x v="0"/>
    <x v="0"/>
    <x v="0"/>
    <x v="0"/>
    <x v="0"/>
    <n v="0"/>
    <n v="3"/>
    <n v="11"/>
    <x v="1"/>
  </r>
  <r>
    <n v="368"/>
    <n v="1974"/>
    <x v="0"/>
    <s v="Married"/>
    <n v="40049"/>
    <n v="0"/>
    <n v="1"/>
    <d v="2012-11-29T00:00:00"/>
    <n v="61"/>
    <n v="91"/>
    <n v="65"/>
    <n v="52"/>
    <n v="10"/>
    <n v="44"/>
    <n v="28"/>
    <n v="3"/>
    <n v="3"/>
    <n v="2"/>
    <n v="6"/>
    <n v="5"/>
    <x v="0"/>
    <x v="0"/>
    <x v="0"/>
    <x v="0"/>
    <x v="0"/>
    <n v="0"/>
    <n v="3"/>
    <n v="11"/>
    <x v="1"/>
  </r>
  <r>
    <n v="3312"/>
    <n v="1988"/>
    <x v="0"/>
    <s v="Single"/>
    <n v="34176"/>
    <n v="1"/>
    <n v="0"/>
    <d v="2014-05-12T00:00:00"/>
    <n v="12"/>
    <n v="5"/>
    <n v="7"/>
    <n v="24"/>
    <n v="19"/>
    <n v="14"/>
    <n v="20"/>
    <n v="4"/>
    <n v="3"/>
    <n v="0"/>
    <n v="4"/>
    <n v="6"/>
    <x v="0"/>
    <x v="0"/>
    <x v="0"/>
    <x v="0"/>
    <x v="0"/>
    <n v="0"/>
    <n v="3"/>
    <n v="11"/>
    <x v="1"/>
  </r>
  <r>
    <n v="11121"/>
    <n v="1981"/>
    <x v="0"/>
    <s v="Married"/>
    <n v="19419"/>
    <n v="1"/>
    <n v="0"/>
    <d v="2012-11-10T00:00:00"/>
    <n v="76"/>
    <n v="2"/>
    <n v="14"/>
    <n v="28"/>
    <n v="16"/>
    <n v="3"/>
    <n v="7"/>
    <n v="4"/>
    <n v="4"/>
    <n v="0"/>
    <n v="3"/>
    <n v="9"/>
    <x v="0"/>
    <x v="0"/>
    <x v="0"/>
    <x v="0"/>
    <x v="0"/>
    <n v="0"/>
    <n v="3"/>
    <n v="11"/>
    <x v="1"/>
  </r>
  <r>
    <n v="5332"/>
    <n v="1960"/>
    <x v="4"/>
    <s v="Married"/>
    <n v="82504"/>
    <n v="0"/>
    <n v="0"/>
    <d v="2013-07-27T00:00:00"/>
    <n v="2"/>
    <n v="362"/>
    <n v="50"/>
    <n v="431"/>
    <n v="134"/>
    <n v="35"/>
    <n v="54"/>
    <n v="1"/>
    <n v="3"/>
    <n v="6"/>
    <n v="7"/>
    <n v="1"/>
    <x v="0"/>
    <x v="0"/>
    <x v="0"/>
    <x v="0"/>
    <x v="0"/>
    <n v="0"/>
    <n v="3"/>
    <n v="11"/>
    <x v="1"/>
  </r>
  <r>
    <n v="5848"/>
    <n v="1970"/>
    <x v="0"/>
    <s v="Together"/>
    <n v="81205"/>
    <n v="0"/>
    <n v="0"/>
    <d v="2014-01-13T00:00:00"/>
    <n v="43"/>
    <n v="724"/>
    <n v="74"/>
    <n v="929"/>
    <n v="97"/>
    <n v="55"/>
    <n v="130"/>
    <n v="1"/>
    <n v="5"/>
    <n v="6"/>
    <n v="7"/>
    <n v="2"/>
    <x v="1"/>
    <x v="0"/>
    <x v="1"/>
    <x v="0"/>
    <x v="1"/>
    <n v="0"/>
    <n v="3"/>
    <n v="11"/>
    <x v="0"/>
  </r>
  <r>
    <n v="10343"/>
    <n v="1991"/>
    <x v="4"/>
    <s v="Single"/>
    <n v="61618"/>
    <n v="0"/>
    <n v="0"/>
    <d v="2012-09-29T00:00:00"/>
    <n v="27"/>
    <n v="605"/>
    <n v="91"/>
    <n v="399"/>
    <n v="0"/>
    <n v="45"/>
    <n v="205"/>
    <n v="2"/>
    <n v="3"/>
    <n v="6"/>
    <n v="8"/>
    <n v="3"/>
    <x v="0"/>
    <x v="0"/>
    <x v="0"/>
    <x v="0"/>
    <x v="0"/>
    <n v="0"/>
    <n v="3"/>
    <n v="11"/>
    <x v="1"/>
  </r>
  <r>
    <n v="5935"/>
    <n v="1956"/>
    <x v="2"/>
    <s v="Single"/>
    <n v="55284"/>
    <n v="0"/>
    <n v="1"/>
    <d v="2012-12-24T00:00:00"/>
    <n v="60"/>
    <n v="547"/>
    <n v="7"/>
    <n v="140"/>
    <n v="0"/>
    <n v="7"/>
    <n v="63"/>
    <n v="3"/>
    <n v="7"/>
    <n v="5"/>
    <n v="8"/>
    <n v="5"/>
    <x v="0"/>
    <x v="0"/>
    <x v="0"/>
    <x v="0"/>
    <x v="0"/>
    <n v="0"/>
    <n v="3"/>
    <n v="11"/>
    <x v="1"/>
  </r>
  <r>
    <n v="2895"/>
    <n v="1963"/>
    <x v="0"/>
    <s v="Single"/>
    <n v="49980"/>
    <n v="0"/>
    <n v="1"/>
    <d v="2013-10-23T00:00:00"/>
    <n v="79"/>
    <n v="104"/>
    <n v="1"/>
    <n v="54"/>
    <n v="13"/>
    <n v="9"/>
    <n v="14"/>
    <n v="2"/>
    <n v="3"/>
    <n v="1"/>
    <n v="5"/>
    <n v="5"/>
    <x v="0"/>
    <x v="0"/>
    <x v="0"/>
    <x v="0"/>
    <x v="0"/>
    <n v="0"/>
    <n v="3"/>
    <n v="11"/>
    <x v="1"/>
  </r>
  <r>
    <n v="10262"/>
    <n v="1980"/>
    <x v="0"/>
    <s v="Married"/>
    <n v="15072"/>
    <n v="2"/>
    <n v="0"/>
    <d v="2013-05-10T00:00:00"/>
    <n v="96"/>
    <n v="8"/>
    <n v="2"/>
    <n v="15"/>
    <n v="0"/>
    <n v="10"/>
    <n v="18"/>
    <n v="4"/>
    <n v="3"/>
    <n v="1"/>
    <n v="3"/>
    <n v="5"/>
    <x v="0"/>
    <x v="0"/>
    <x v="0"/>
    <x v="0"/>
    <x v="0"/>
    <n v="0"/>
    <n v="3"/>
    <n v="11"/>
    <x v="1"/>
  </r>
  <r>
    <n v="7848"/>
    <n v="1974"/>
    <x v="0"/>
    <s v="Single"/>
    <n v="49166"/>
    <n v="0"/>
    <n v="1"/>
    <d v="2013-06-13T00:00:00"/>
    <n v="17"/>
    <n v="224"/>
    <n v="2"/>
    <n v="25"/>
    <n v="7"/>
    <n v="0"/>
    <n v="110"/>
    <n v="2"/>
    <n v="5"/>
    <n v="3"/>
    <n v="3"/>
    <n v="6"/>
    <x v="0"/>
    <x v="0"/>
    <x v="0"/>
    <x v="0"/>
    <x v="0"/>
    <n v="0"/>
    <n v="3"/>
    <n v="11"/>
    <x v="1"/>
  </r>
  <r>
    <n v="9477"/>
    <n v="1954"/>
    <x v="1"/>
    <s v="Married"/>
    <n v="65324"/>
    <n v="0"/>
    <n v="1"/>
    <d v="2014-01-11T00:00:00"/>
    <n v="0"/>
    <n v="384"/>
    <n v="0"/>
    <n v="102"/>
    <n v="21"/>
    <n v="32"/>
    <n v="5"/>
    <n v="3"/>
    <n v="6"/>
    <n v="2"/>
    <n v="9"/>
    <n v="4"/>
    <x v="0"/>
    <x v="0"/>
    <x v="0"/>
    <x v="0"/>
    <x v="0"/>
    <n v="0"/>
    <n v="3"/>
    <n v="11"/>
    <x v="1"/>
  </r>
  <r>
    <n v="4856"/>
    <n v="1957"/>
    <x v="4"/>
    <s v="Married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x v="1"/>
    <x v="0"/>
    <x v="0"/>
    <x v="1"/>
    <x v="0"/>
    <n v="0"/>
    <n v="3"/>
    <n v="11"/>
    <x v="1"/>
  </r>
  <r>
    <n v="7186"/>
    <n v="1966"/>
    <x v="1"/>
    <s v="Together"/>
    <n v="30843"/>
    <n v="1"/>
    <n v="1"/>
    <d v="2014-05-26T00:00:00"/>
    <n v="43"/>
    <n v="24"/>
    <n v="0"/>
    <n v="2"/>
    <n v="0"/>
    <n v="0"/>
    <n v="9"/>
    <n v="2"/>
    <n v="1"/>
    <n v="1"/>
    <n v="2"/>
    <n v="5"/>
    <x v="1"/>
    <x v="0"/>
    <x v="0"/>
    <x v="0"/>
    <x v="0"/>
    <n v="0"/>
    <n v="3"/>
    <n v="11"/>
    <x v="1"/>
  </r>
  <r>
    <n v="5794"/>
    <n v="1974"/>
    <x v="1"/>
    <s v="Married"/>
    <n v="46374"/>
    <n v="0"/>
    <n v="1"/>
    <d v="2014-03-17T00:00:00"/>
    <n v="1"/>
    <n v="408"/>
    <n v="0"/>
    <n v="21"/>
    <n v="0"/>
    <n v="0"/>
    <n v="17"/>
    <n v="3"/>
    <n v="7"/>
    <n v="1"/>
    <n v="7"/>
    <n v="8"/>
    <x v="0"/>
    <x v="1"/>
    <x v="0"/>
    <x v="1"/>
    <x v="0"/>
    <n v="0"/>
    <n v="3"/>
    <n v="11"/>
    <x v="0"/>
  </r>
  <r>
    <n v="1456"/>
    <n v="1979"/>
    <x v="0"/>
    <s v="Single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x v="0"/>
    <x v="0"/>
    <x v="0"/>
    <x v="0"/>
    <x v="0"/>
    <n v="0"/>
    <n v="3"/>
    <n v="11"/>
    <x v="1"/>
  </r>
  <r>
    <n v="4877"/>
    <n v="1973"/>
    <x v="2"/>
    <s v="Married"/>
    <n v="38576"/>
    <n v="0"/>
    <n v="1"/>
    <d v="2014-03-04T00:00:00"/>
    <n v="2"/>
    <n v="34"/>
    <n v="0"/>
    <n v="7"/>
    <n v="0"/>
    <n v="0"/>
    <n v="0"/>
    <n v="1"/>
    <n v="1"/>
    <n v="0"/>
    <n v="3"/>
    <n v="7"/>
    <x v="0"/>
    <x v="0"/>
    <x v="0"/>
    <x v="0"/>
    <x v="0"/>
    <n v="0"/>
    <n v="3"/>
    <n v="11"/>
    <x v="1"/>
  </r>
  <r>
    <n v="425"/>
    <n v="1985"/>
    <x v="0"/>
    <s v="Married"/>
    <n v="55357"/>
    <n v="2"/>
    <n v="0"/>
    <d v="2013-02-19T00:00:00"/>
    <n v="66"/>
    <n v="374"/>
    <n v="64"/>
    <n v="116"/>
    <n v="84"/>
    <n v="25"/>
    <n v="64"/>
    <n v="3"/>
    <n v="6"/>
    <n v="2"/>
    <n v="11"/>
    <n v="5"/>
    <x v="0"/>
    <x v="0"/>
    <x v="0"/>
    <x v="0"/>
    <x v="0"/>
    <n v="0"/>
    <n v="3"/>
    <n v="11"/>
    <x v="1"/>
  </r>
  <r>
    <n v="3007"/>
    <n v="1966"/>
    <x v="0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x v="0"/>
    <x v="0"/>
    <x v="0"/>
    <x v="0"/>
    <x v="0"/>
    <n v="0"/>
    <n v="3"/>
    <n v="11"/>
    <x v="1"/>
  </r>
  <r>
    <n v="1031"/>
    <n v="1989"/>
    <x v="4"/>
    <s v="Married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x v="0"/>
    <x v="0"/>
    <x v="1"/>
    <x v="0"/>
    <x v="0"/>
    <n v="0"/>
    <n v="3"/>
    <n v="11"/>
    <x v="1"/>
  </r>
  <r>
    <n v="4297"/>
    <n v="1969"/>
    <x v="0"/>
    <s v="Together"/>
    <n v="23228"/>
    <n v="1"/>
    <n v="0"/>
    <d v="2014-01-26T00:00:00"/>
    <n v="71"/>
    <n v="13"/>
    <n v="2"/>
    <n v="18"/>
    <n v="6"/>
    <n v="1"/>
    <n v="0"/>
    <n v="2"/>
    <n v="2"/>
    <n v="0"/>
    <n v="3"/>
    <n v="8"/>
    <x v="0"/>
    <x v="0"/>
    <x v="0"/>
    <x v="0"/>
    <x v="0"/>
    <n v="0"/>
    <n v="3"/>
    <n v="11"/>
    <x v="1"/>
  </r>
  <r>
    <n v="807"/>
    <n v="1969"/>
    <x v="2"/>
    <s v="Together"/>
    <n v="44602"/>
    <n v="1"/>
    <n v="1"/>
    <d v="2014-02-15T00:00:00"/>
    <n v="35"/>
    <n v="167"/>
    <n v="2"/>
    <n v="89"/>
    <n v="0"/>
    <n v="0"/>
    <n v="34"/>
    <n v="6"/>
    <n v="6"/>
    <n v="1"/>
    <n v="4"/>
    <n v="8"/>
    <x v="0"/>
    <x v="0"/>
    <x v="0"/>
    <x v="0"/>
    <x v="0"/>
    <n v="0"/>
    <n v="3"/>
    <n v="11"/>
    <x v="1"/>
  </r>
  <r>
    <n v="9553"/>
    <n v="1987"/>
    <x v="0"/>
    <s v="Married"/>
    <n v="7500"/>
    <n v="0"/>
    <n v="0"/>
    <d v="2013-01-09T00:00:00"/>
    <n v="94"/>
    <n v="0"/>
    <n v="2"/>
    <n v="3"/>
    <n v="4"/>
    <n v="1"/>
    <n v="5"/>
    <n v="1"/>
    <n v="0"/>
    <n v="0"/>
    <n v="3"/>
    <n v="6"/>
    <x v="0"/>
    <x v="0"/>
    <x v="0"/>
    <x v="0"/>
    <x v="0"/>
    <n v="0"/>
    <n v="3"/>
    <n v="11"/>
    <x v="1"/>
  </r>
  <r>
    <n v="4271"/>
    <n v="1989"/>
    <x v="4"/>
    <s v="Together"/>
    <n v="38683"/>
    <n v="1"/>
    <n v="0"/>
    <d v="2012-10-04T00:00:00"/>
    <n v="80"/>
    <n v="46"/>
    <n v="35"/>
    <n v="69"/>
    <n v="84"/>
    <n v="41"/>
    <n v="66"/>
    <n v="6"/>
    <n v="4"/>
    <n v="1"/>
    <n v="6"/>
    <n v="7"/>
    <x v="0"/>
    <x v="0"/>
    <x v="0"/>
    <x v="0"/>
    <x v="0"/>
    <n v="0"/>
    <n v="3"/>
    <n v="11"/>
    <x v="1"/>
  </r>
  <r>
    <n v="4120"/>
    <n v="1975"/>
    <x v="4"/>
    <s v="Single"/>
    <n v="49514"/>
    <n v="1"/>
    <n v="0"/>
    <d v="2013-12-17T00:00:00"/>
    <n v="61"/>
    <n v="88"/>
    <n v="39"/>
    <n v="78"/>
    <n v="58"/>
    <n v="13"/>
    <n v="93"/>
    <n v="2"/>
    <n v="6"/>
    <n v="1"/>
    <n v="4"/>
    <n v="7"/>
    <x v="0"/>
    <x v="0"/>
    <x v="0"/>
    <x v="0"/>
    <x v="0"/>
    <n v="0"/>
    <n v="3"/>
    <n v="11"/>
    <x v="1"/>
  </r>
  <r>
    <n v="2036"/>
    <n v="1973"/>
    <x v="1"/>
    <s v="Together"/>
    <n v="57906"/>
    <n v="0"/>
    <n v="1"/>
    <d v="2013-06-11T00:00:00"/>
    <n v="29"/>
    <n v="243"/>
    <n v="11"/>
    <n v="119"/>
    <n v="10"/>
    <n v="3"/>
    <n v="15"/>
    <n v="3"/>
    <n v="4"/>
    <n v="2"/>
    <n v="8"/>
    <n v="4"/>
    <x v="0"/>
    <x v="0"/>
    <x v="0"/>
    <x v="0"/>
    <x v="0"/>
    <n v="0"/>
    <n v="3"/>
    <n v="11"/>
    <x v="1"/>
  </r>
  <r>
    <n v="115"/>
    <n v="1966"/>
    <x v="2"/>
    <s v="Single"/>
    <n v="43456"/>
    <n v="0"/>
    <n v="1"/>
    <d v="2013-03-26T00:00:00"/>
    <n v="0"/>
    <n v="275"/>
    <n v="11"/>
    <n v="68"/>
    <n v="25"/>
    <n v="7"/>
    <n v="7"/>
    <n v="3"/>
    <n v="5"/>
    <n v="1"/>
    <n v="8"/>
    <n v="5"/>
    <x v="0"/>
    <x v="0"/>
    <x v="0"/>
    <x v="0"/>
    <x v="0"/>
    <n v="0"/>
    <n v="3"/>
    <n v="11"/>
    <x v="1"/>
  </r>
  <r>
    <n v="4259"/>
    <n v="1986"/>
    <x v="2"/>
    <s v="Single"/>
    <n v="19485"/>
    <n v="2"/>
    <n v="0"/>
    <d v="2013-09-24T00:00:00"/>
    <n v="80"/>
    <n v="6"/>
    <n v="0"/>
    <n v="4"/>
    <n v="0"/>
    <n v="0"/>
    <n v="0"/>
    <n v="1"/>
    <n v="1"/>
    <n v="0"/>
    <n v="2"/>
    <n v="7"/>
    <x v="0"/>
    <x v="0"/>
    <x v="0"/>
    <x v="0"/>
    <x v="0"/>
    <n v="0"/>
    <n v="3"/>
    <n v="11"/>
    <x v="1"/>
  </r>
  <r>
    <n v="8687"/>
    <n v="1978"/>
    <x v="0"/>
    <s v="Together"/>
    <n v="53172"/>
    <n v="0"/>
    <n v="1"/>
    <d v="2013-05-06T00:00:00"/>
    <n v="54"/>
    <n v="121"/>
    <n v="62"/>
    <n v="90"/>
    <n v="68"/>
    <n v="20"/>
    <n v="125"/>
    <n v="3"/>
    <n v="2"/>
    <n v="3"/>
    <n v="8"/>
    <n v="3"/>
    <x v="0"/>
    <x v="0"/>
    <x v="0"/>
    <x v="0"/>
    <x v="0"/>
    <n v="0"/>
    <n v="3"/>
    <n v="11"/>
    <x v="1"/>
  </r>
  <r>
    <n v="2447"/>
    <n v="1979"/>
    <x v="0"/>
    <s v="Together"/>
    <n v="30545"/>
    <n v="1"/>
    <n v="0"/>
    <d v="2012-10-17T00:00:00"/>
    <n v="71"/>
    <n v="4"/>
    <n v="12"/>
    <n v="15"/>
    <n v="19"/>
    <n v="7"/>
    <n v="12"/>
    <n v="2"/>
    <n v="2"/>
    <n v="0"/>
    <n v="3"/>
    <n v="7"/>
    <x v="0"/>
    <x v="0"/>
    <x v="0"/>
    <x v="0"/>
    <x v="0"/>
    <n v="0"/>
    <n v="3"/>
    <n v="11"/>
    <x v="1"/>
  </r>
  <r>
    <n v="10140"/>
    <n v="1983"/>
    <x v="1"/>
    <s v="Together"/>
    <n v="70123"/>
    <n v="0"/>
    <n v="0"/>
    <d v="2013-09-28T00:00:00"/>
    <n v="27"/>
    <n v="1308"/>
    <n v="0"/>
    <n v="396"/>
    <n v="23"/>
    <n v="0"/>
    <n v="0"/>
    <n v="1"/>
    <n v="5"/>
    <n v="7"/>
    <n v="4"/>
    <n v="3"/>
    <x v="0"/>
    <x v="1"/>
    <x v="0"/>
    <x v="0"/>
    <x v="1"/>
    <n v="0"/>
    <n v="3"/>
    <n v="11"/>
    <x v="1"/>
  </r>
  <r>
    <n v="9353"/>
    <n v="1959"/>
    <x v="0"/>
    <s v="Single"/>
    <n v="62450"/>
    <n v="0"/>
    <n v="1"/>
    <d v="2014-01-06T00:00:00"/>
    <n v="61"/>
    <n v="515"/>
    <n v="47"/>
    <n v="267"/>
    <n v="62"/>
    <n v="66"/>
    <n v="38"/>
    <n v="2"/>
    <n v="5"/>
    <n v="5"/>
    <n v="4"/>
    <n v="3"/>
    <x v="0"/>
    <x v="1"/>
    <x v="0"/>
    <x v="0"/>
    <x v="0"/>
    <n v="0"/>
    <n v="3"/>
    <n v="11"/>
    <x v="1"/>
  </r>
  <r>
    <n v="3623"/>
    <n v="1976"/>
    <x v="0"/>
    <s v="Together"/>
    <n v="21675"/>
    <n v="1"/>
    <n v="0"/>
    <d v="2014-06-11T00:00:00"/>
    <n v="55"/>
    <n v="4"/>
    <n v="0"/>
    <n v="16"/>
    <n v="17"/>
    <n v="4"/>
    <n v="4"/>
    <n v="3"/>
    <n v="4"/>
    <n v="0"/>
    <n v="3"/>
    <n v="7"/>
    <x v="0"/>
    <x v="0"/>
    <x v="0"/>
    <x v="0"/>
    <x v="0"/>
    <n v="0"/>
    <n v="3"/>
    <n v="11"/>
    <x v="1"/>
  </r>
  <r>
    <n v="738"/>
    <n v="1981"/>
    <x v="4"/>
    <s v="Single"/>
    <n v="42395"/>
    <n v="1"/>
    <n v="1"/>
    <d v="2014-04-04T00:00:00"/>
    <n v="35"/>
    <n v="48"/>
    <n v="13"/>
    <n v="57"/>
    <n v="24"/>
    <n v="15"/>
    <n v="25"/>
    <n v="4"/>
    <n v="3"/>
    <n v="1"/>
    <n v="4"/>
    <n v="7"/>
    <x v="0"/>
    <x v="0"/>
    <x v="0"/>
    <x v="0"/>
    <x v="0"/>
    <n v="0"/>
    <n v="3"/>
    <n v="11"/>
    <x v="1"/>
  </r>
  <r>
    <n v="7631"/>
    <n v="1978"/>
    <x v="2"/>
    <s v="Together"/>
    <n v="61346"/>
    <n v="1"/>
    <n v="0"/>
    <d v="2013-10-06T00:00:00"/>
    <n v="34"/>
    <n v="562"/>
    <n v="58"/>
    <n v="168"/>
    <n v="43"/>
    <n v="16"/>
    <n v="142"/>
    <n v="1"/>
    <n v="5"/>
    <n v="7"/>
    <n v="10"/>
    <n v="3"/>
    <x v="0"/>
    <x v="0"/>
    <x v="0"/>
    <x v="0"/>
    <x v="0"/>
    <n v="0"/>
    <n v="3"/>
    <n v="11"/>
    <x v="1"/>
  </r>
  <r>
    <n v="4789"/>
    <n v="1953"/>
    <x v="0"/>
    <s v="Together"/>
    <n v="80812"/>
    <n v="0"/>
    <n v="0"/>
    <d v="2013-09-17T00:00:00"/>
    <n v="95"/>
    <n v="769"/>
    <n v="22"/>
    <n v="500"/>
    <n v="210"/>
    <n v="143"/>
    <n v="33"/>
    <n v="1"/>
    <n v="4"/>
    <n v="8"/>
    <n v="5"/>
    <n v="2"/>
    <x v="1"/>
    <x v="0"/>
    <x v="1"/>
    <x v="1"/>
    <x v="0"/>
    <n v="0"/>
    <n v="3"/>
    <n v="11"/>
    <x v="1"/>
  </r>
  <r>
    <n v="773"/>
    <n v="1971"/>
    <x v="2"/>
    <s v="Divorced"/>
    <n v="42835"/>
    <n v="1"/>
    <n v="1"/>
    <d v="2013-06-30T00:00:00"/>
    <n v="64"/>
    <n v="379"/>
    <n v="4"/>
    <n v="93"/>
    <n v="12"/>
    <n v="9"/>
    <n v="98"/>
    <n v="7"/>
    <n v="6"/>
    <n v="6"/>
    <n v="4"/>
    <n v="6"/>
    <x v="0"/>
    <x v="0"/>
    <x v="0"/>
    <x v="0"/>
    <x v="0"/>
    <n v="0"/>
    <n v="3"/>
    <n v="11"/>
    <x v="1"/>
  </r>
  <r>
    <n v="10602"/>
    <n v="1983"/>
    <x v="0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x v="0"/>
    <x v="0"/>
    <x v="0"/>
    <x v="0"/>
    <x v="0"/>
    <n v="0"/>
    <n v="3"/>
    <n v="11"/>
    <x v="1"/>
  </r>
  <r>
    <n v="1446"/>
    <n v="1956"/>
    <x v="2"/>
    <s v="Single"/>
    <n v="86424"/>
    <n v="0"/>
    <n v="0"/>
    <d v="2014-04-05T00:00:00"/>
    <n v="12"/>
    <n v="387"/>
    <n v="68"/>
    <n v="569"/>
    <n v="89"/>
    <n v="45"/>
    <n v="68"/>
    <n v="1"/>
    <n v="6"/>
    <n v="9"/>
    <n v="12"/>
    <n v="1"/>
    <x v="0"/>
    <x v="0"/>
    <x v="0"/>
    <x v="0"/>
    <x v="0"/>
    <n v="0"/>
    <n v="3"/>
    <n v="11"/>
    <x v="1"/>
  </r>
  <r>
    <n v="3270"/>
    <n v="1978"/>
    <x v="4"/>
    <s v="Together"/>
    <n v="17117"/>
    <n v="1"/>
    <n v="0"/>
    <d v="2013-01-17T00:00:00"/>
    <n v="96"/>
    <n v="12"/>
    <n v="23"/>
    <n v="38"/>
    <n v="30"/>
    <n v="18"/>
    <n v="7"/>
    <n v="4"/>
    <n v="3"/>
    <n v="1"/>
    <n v="3"/>
    <n v="9"/>
    <x v="0"/>
    <x v="0"/>
    <x v="0"/>
    <x v="0"/>
    <x v="0"/>
    <n v="0"/>
    <n v="3"/>
    <n v="11"/>
    <x v="1"/>
  </r>
  <r>
    <n v="8443"/>
    <n v="1972"/>
    <x v="0"/>
    <s v="Single"/>
    <n v="24762"/>
    <n v="1"/>
    <n v="0"/>
    <d v="2014-02-10T00:00:00"/>
    <n v="16"/>
    <n v="6"/>
    <n v="10"/>
    <n v="12"/>
    <n v="3"/>
    <n v="15"/>
    <n v="40"/>
    <n v="3"/>
    <n v="3"/>
    <n v="1"/>
    <n v="2"/>
    <n v="8"/>
    <x v="1"/>
    <x v="0"/>
    <x v="0"/>
    <x v="0"/>
    <x v="0"/>
    <n v="0"/>
    <n v="3"/>
    <n v="11"/>
    <x v="0"/>
  </r>
  <r>
    <n v="9653"/>
    <n v="1975"/>
    <x v="0"/>
    <s v="Married"/>
    <n v="35797"/>
    <n v="0"/>
    <n v="1"/>
    <d v="2012-10-16T00:00:00"/>
    <n v="16"/>
    <n v="27"/>
    <n v="1"/>
    <n v="14"/>
    <n v="4"/>
    <n v="1"/>
    <n v="21"/>
    <n v="2"/>
    <n v="2"/>
    <n v="0"/>
    <n v="3"/>
    <n v="8"/>
    <x v="0"/>
    <x v="0"/>
    <x v="0"/>
    <x v="0"/>
    <x v="0"/>
    <n v="0"/>
    <n v="3"/>
    <n v="11"/>
    <x v="1"/>
  </r>
  <r>
    <n v="8916"/>
    <n v="1975"/>
    <x v="0"/>
    <s v="Divorced"/>
    <n v="36627"/>
    <n v="2"/>
    <n v="0"/>
    <d v="2013-07-23T00:00:00"/>
    <n v="78"/>
    <n v="9"/>
    <n v="1"/>
    <n v="5"/>
    <n v="0"/>
    <n v="0"/>
    <n v="1"/>
    <n v="1"/>
    <n v="0"/>
    <n v="0"/>
    <n v="3"/>
    <n v="5"/>
    <x v="0"/>
    <x v="0"/>
    <x v="0"/>
    <x v="0"/>
    <x v="0"/>
    <n v="0"/>
    <n v="3"/>
    <n v="11"/>
    <x v="1"/>
  </r>
  <r>
    <n v="8017"/>
    <n v="1981"/>
    <x v="4"/>
    <s v="Married"/>
    <n v="51111"/>
    <n v="1"/>
    <n v="1"/>
    <d v="2014-06-19T00:00:00"/>
    <n v="83"/>
    <n v="22"/>
    <n v="0"/>
    <n v="19"/>
    <n v="6"/>
    <n v="5"/>
    <n v="3"/>
    <n v="2"/>
    <n v="2"/>
    <n v="0"/>
    <n v="3"/>
    <n v="6"/>
    <x v="0"/>
    <x v="0"/>
    <x v="0"/>
    <x v="0"/>
    <x v="0"/>
    <n v="0"/>
    <n v="3"/>
    <n v="11"/>
    <x v="1"/>
  </r>
  <r>
    <n v="5830"/>
    <n v="1972"/>
    <x v="1"/>
    <s v="Single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x v="0"/>
    <x v="0"/>
    <x v="0"/>
    <x v="0"/>
    <x v="0"/>
    <n v="0"/>
    <n v="3"/>
    <n v="11"/>
    <x v="0"/>
  </r>
  <r>
    <n v="4597"/>
    <n v="1970"/>
    <x v="1"/>
    <s v="Together"/>
    <n v="82072"/>
    <n v="0"/>
    <n v="0"/>
    <d v="2013-07-02T00:00:00"/>
    <n v="67"/>
    <n v="889"/>
    <n v="55"/>
    <n v="685"/>
    <n v="168"/>
    <n v="92"/>
    <n v="129"/>
    <n v="1"/>
    <n v="3"/>
    <n v="2"/>
    <n v="13"/>
    <n v="1"/>
    <x v="0"/>
    <x v="0"/>
    <x v="0"/>
    <x v="0"/>
    <x v="0"/>
    <n v="0"/>
    <n v="3"/>
    <n v="11"/>
    <x v="1"/>
  </r>
  <r>
    <n v="7023"/>
    <n v="1953"/>
    <x v="1"/>
    <s v="Single"/>
    <n v="46231"/>
    <n v="2"/>
    <n v="1"/>
    <d v="2012-11-26T00:00:00"/>
    <n v="87"/>
    <n v="189"/>
    <n v="2"/>
    <n v="55"/>
    <n v="0"/>
    <n v="5"/>
    <n v="12"/>
    <n v="4"/>
    <n v="6"/>
    <n v="1"/>
    <n v="4"/>
    <n v="9"/>
    <x v="0"/>
    <x v="0"/>
    <x v="0"/>
    <x v="0"/>
    <x v="0"/>
    <n v="0"/>
    <n v="3"/>
    <n v="11"/>
    <x v="1"/>
  </r>
  <r>
    <n v="8086"/>
    <n v="1959"/>
    <x v="0"/>
    <s v="Married"/>
    <n v="42243"/>
    <n v="1"/>
    <n v="1"/>
    <d v="2013-12-11T00:00:00"/>
    <n v="34"/>
    <n v="48"/>
    <n v="0"/>
    <n v="2"/>
    <n v="0"/>
    <n v="0"/>
    <n v="5"/>
    <n v="2"/>
    <n v="2"/>
    <n v="0"/>
    <n v="3"/>
    <n v="7"/>
    <x v="0"/>
    <x v="0"/>
    <x v="0"/>
    <x v="0"/>
    <x v="0"/>
    <n v="0"/>
    <n v="3"/>
    <n v="11"/>
    <x v="1"/>
  </r>
  <r>
    <n v="8825"/>
    <n v="1962"/>
    <x v="0"/>
    <s v="Together"/>
    <n v="51195"/>
    <n v="1"/>
    <n v="1"/>
    <d v="2013-04-01T00:00:00"/>
    <n v="46"/>
    <n v="230"/>
    <n v="14"/>
    <n v="156"/>
    <n v="82"/>
    <n v="24"/>
    <n v="58"/>
    <n v="8"/>
    <n v="9"/>
    <n v="2"/>
    <n v="5"/>
    <n v="8"/>
    <x v="0"/>
    <x v="0"/>
    <x v="0"/>
    <x v="0"/>
    <x v="0"/>
    <n v="0"/>
    <n v="3"/>
    <n v="11"/>
    <x v="1"/>
  </r>
  <r>
    <n v="2930"/>
    <n v="1978"/>
    <x v="2"/>
    <s v="Single"/>
    <n v="68092"/>
    <n v="0"/>
    <n v="0"/>
    <d v="2013-12-16T00:00:00"/>
    <n v="7"/>
    <n v="852"/>
    <n v="60"/>
    <n v="207"/>
    <n v="78"/>
    <n v="36"/>
    <n v="48"/>
    <n v="2"/>
    <n v="2"/>
    <n v="6"/>
    <n v="10"/>
    <n v="5"/>
    <x v="0"/>
    <x v="0"/>
    <x v="0"/>
    <x v="0"/>
    <x v="0"/>
    <n v="0"/>
    <n v="3"/>
    <n v="11"/>
    <x v="1"/>
  </r>
  <r>
    <n v="1928"/>
    <n v="1973"/>
    <x v="0"/>
    <s v="Married"/>
    <n v="31814"/>
    <n v="1"/>
    <n v="0"/>
    <d v="2013-02-09T00:00:00"/>
    <n v="73"/>
    <n v="35"/>
    <n v="3"/>
    <n v="20"/>
    <n v="4"/>
    <n v="1"/>
    <n v="20"/>
    <n v="2"/>
    <n v="2"/>
    <n v="0"/>
    <n v="3"/>
    <n v="9"/>
    <x v="1"/>
    <x v="0"/>
    <x v="0"/>
    <x v="0"/>
    <x v="0"/>
    <n v="0"/>
    <n v="3"/>
    <n v="11"/>
    <x v="1"/>
  </r>
  <r>
    <n v="7108"/>
    <n v="1965"/>
    <x v="2"/>
    <s v="Widow"/>
    <n v="51390"/>
    <n v="1"/>
    <n v="1"/>
    <d v="2012-09-08T00:00:00"/>
    <n v="54"/>
    <n v="205"/>
    <n v="20"/>
    <n v="47"/>
    <n v="23"/>
    <n v="2"/>
    <n v="56"/>
    <n v="6"/>
    <n v="5"/>
    <n v="2"/>
    <n v="5"/>
    <n v="5"/>
    <x v="0"/>
    <x v="0"/>
    <x v="0"/>
    <x v="0"/>
    <x v="0"/>
    <n v="0"/>
    <n v="3"/>
    <n v="11"/>
    <x v="1"/>
  </r>
  <r>
    <n v="10925"/>
    <n v="1983"/>
    <x v="0"/>
    <s v="Married"/>
    <n v="76630"/>
    <n v="0"/>
    <n v="0"/>
    <d v="2014-01-14T00:00:00"/>
    <n v="93"/>
    <n v="255"/>
    <n v="31"/>
    <n v="446"/>
    <n v="40"/>
    <n v="56"/>
    <n v="175"/>
    <n v="1"/>
    <n v="3"/>
    <n v="10"/>
    <n v="11"/>
    <n v="1"/>
    <x v="0"/>
    <x v="0"/>
    <x v="0"/>
    <x v="0"/>
    <x v="0"/>
    <n v="0"/>
    <n v="3"/>
    <n v="11"/>
    <x v="1"/>
  </r>
  <r>
    <n v="9960"/>
    <n v="1991"/>
    <x v="3"/>
    <s v="Single"/>
    <n v="26868"/>
    <n v="1"/>
    <n v="0"/>
    <d v="2014-04-30T00:00:00"/>
    <n v="52"/>
    <n v="0"/>
    <n v="0"/>
    <n v="1"/>
    <n v="8"/>
    <n v="3"/>
    <n v="2"/>
    <n v="1"/>
    <n v="1"/>
    <n v="0"/>
    <n v="2"/>
    <n v="7"/>
    <x v="0"/>
    <x v="0"/>
    <x v="0"/>
    <x v="0"/>
    <x v="0"/>
    <n v="0"/>
    <n v="3"/>
    <n v="11"/>
    <x v="1"/>
  </r>
  <r>
    <n v="8800"/>
    <n v="1943"/>
    <x v="1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x v="1"/>
    <x v="0"/>
    <x v="0"/>
    <x v="0"/>
    <x v="0"/>
    <n v="0"/>
    <n v="3"/>
    <n v="11"/>
    <x v="0"/>
  </r>
  <r>
    <n v="9224"/>
    <n v="1972"/>
    <x v="1"/>
    <s v="Single"/>
    <n v="55260"/>
    <n v="0"/>
    <n v="1"/>
    <d v="2012-12-12T00:00:00"/>
    <n v="81"/>
    <n v="825"/>
    <n v="8"/>
    <n v="53"/>
    <n v="11"/>
    <n v="0"/>
    <n v="242"/>
    <n v="2"/>
    <n v="8"/>
    <n v="10"/>
    <n v="5"/>
    <n v="6"/>
    <x v="0"/>
    <x v="0"/>
    <x v="0"/>
    <x v="0"/>
    <x v="0"/>
    <n v="0"/>
    <n v="3"/>
    <n v="11"/>
    <x v="1"/>
  </r>
  <r>
    <n v="5519"/>
    <n v="1956"/>
    <x v="0"/>
    <s v="Together"/>
    <n v="64090"/>
    <n v="0"/>
    <n v="1"/>
    <d v="2013-08-07T00:00:00"/>
    <n v="8"/>
    <n v="316"/>
    <n v="58"/>
    <n v="161"/>
    <n v="76"/>
    <n v="51"/>
    <n v="135"/>
    <n v="1"/>
    <n v="6"/>
    <n v="9"/>
    <n v="4"/>
    <n v="5"/>
    <x v="0"/>
    <x v="0"/>
    <x v="0"/>
    <x v="0"/>
    <x v="0"/>
    <n v="0"/>
    <n v="3"/>
    <n v="11"/>
    <x v="0"/>
  </r>
  <r>
    <n v="5046"/>
    <n v="1958"/>
    <x v="0"/>
    <s v="Divorced"/>
    <n v="78331"/>
    <n v="0"/>
    <n v="1"/>
    <d v="2014-01-23T00:00:00"/>
    <n v="97"/>
    <n v="756"/>
    <n v="138"/>
    <n v="354"/>
    <n v="160"/>
    <n v="169"/>
    <n v="61"/>
    <n v="2"/>
    <n v="10"/>
    <n v="6"/>
    <n v="7"/>
    <n v="4"/>
    <x v="0"/>
    <x v="0"/>
    <x v="0"/>
    <x v="0"/>
    <x v="0"/>
    <n v="0"/>
    <n v="3"/>
    <n v="11"/>
    <x v="1"/>
  </r>
  <r>
    <n v="7037"/>
    <n v="1974"/>
    <x v="1"/>
    <s v="Married"/>
    <n v="37087"/>
    <n v="1"/>
    <n v="0"/>
    <d v="2013-08-11T00:00:00"/>
    <n v="50"/>
    <n v="194"/>
    <n v="55"/>
    <n v="134"/>
    <n v="15"/>
    <n v="0"/>
    <n v="3"/>
    <n v="3"/>
    <n v="4"/>
    <n v="2"/>
    <n v="8"/>
    <n v="6"/>
    <x v="0"/>
    <x v="0"/>
    <x v="0"/>
    <x v="0"/>
    <x v="0"/>
    <n v="0"/>
    <n v="3"/>
    <n v="11"/>
    <x v="1"/>
  </r>
  <r>
    <n v="905"/>
    <n v="1986"/>
    <x v="0"/>
    <s v="Divorced"/>
    <n v="21846"/>
    <n v="1"/>
    <n v="0"/>
    <d v="2013-10-22T00:00:00"/>
    <n v="38"/>
    <n v="7"/>
    <n v="17"/>
    <n v="18"/>
    <n v="6"/>
    <n v="10"/>
    <n v="26"/>
    <n v="4"/>
    <n v="4"/>
    <n v="0"/>
    <n v="3"/>
    <n v="8"/>
    <x v="0"/>
    <x v="0"/>
    <x v="0"/>
    <x v="0"/>
    <x v="0"/>
    <n v="0"/>
    <n v="3"/>
    <n v="11"/>
    <x v="1"/>
  </r>
  <r>
    <n v="8624"/>
    <n v="1958"/>
    <x v="0"/>
    <s v="Married"/>
    <n v="81320"/>
    <n v="0"/>
    <n v="0"/>
    <d v="2013-02-06T00:00:00"/>
    <n v="61"/>
    <n v="183"/>
    <n v="33"/>
    <n v="493"/>
    <n v="59"/>
    <n v="103"/>
    <n v="57"/>
    <n v="1"/>
    <n v="4"/>
    <n v="3"/>
    <n v="10"/>
    <n v="2"/>
    <x v="0"/>
    <x v="0"/>
    <x v="0"/>
    <x v="0"/>
    <x v="0"/>
    <n v="0"/>
    <n v="3"/>
    <n v="11"/>
    <x v="1"/>
  </r>
  <r>
    <n v="8945"/>
    <n v="1970"/>
    <x v="0"/>
    <s v="Divorced"/>
    <n v="54137"/>
    <n v="0"/>
    <n v="1"/>
    <d v="2013-08-16T00:00:00"/>
    <n v="46"/>
    <n v="171"/>
    <n v="0"/>
    <n v="11"/>
    <n v="0"/>
    <n v="1"/>
    <n v="20"/>
    <n v="2"/>
    <n v="4"/>
    <n v="1"/>
    <n v="4"/>
    <n v="6"/>
    <x v="0"/>
    <x v="0"/>
    <x v="0"/>
    <x v="0"/>
    <x v="0"/>
    <n v="0"/>
    <n v="3"/>
    <n v="11"/>
    <x v="1"/>
  </r>
  <r>
    <n v="6445"/>
    <n v="1967"/>
    <x v="0"/>
    <s v="Together"/>
    <n v="66825"/>
    <n v="0"/>
    <n v="0"/>
    <d v="2013-07-14T00:00:00"/>
    <n v="73"/>
    <n v="243"/>
    <n v="101"/>
    <n v="405"/>
    <n v="29"/>
    <n v="40"/>
    <n v="40"/>
    <n v="1"/>
    <n v="4"/>
    <n v="5"/>
    <n v="6"/>
    <n v="2"/>
    <x v="0"/>
    <x v="0"/>
    <x v="0"/>
    <x v="0"/>
    <x v="0"/>
    <n v="0"/>
    <n v="3"/>
    <n v="11"/>
    <x v="1"/>
  </r>
  <r>
    <n v="2727"/>
    <n v="1973"/>
    <x v="0"/>
    <s v="Together"/>
    <n v="57100"/>
    <n v="0"/>
    <n v="0"/>
    <d v="2013-12-04T00:00:00"/>
    <n v="19"/>
    <n v="181"/>
    <n v="21"/>
    <n v="69"/>
    <n v="39"/>
    <n v="3"/>
    <n v="96"/>
    <n v="1"/>
    <n v="3"/>
    <n v="3"/>
    <n v="6"/>
    <n v="3"/>
    <x v="0"/>
    <x v="0"/>
    <x v="0"/>
    <x v="0"/>
    <x v="0"/>
    <n v="0"/>
    <n v="3"/>
    <n v="11"/>
    <x v="1"/>
  </r>
  <r>
    <n v="6404"/>
    <n v="1969"/>
    <x v="0"/>
    <s v="Together"/>
    <n v="58917"/>
    <n v="1"/>
    <n v="2"/>
    <d v="2013-03-24T00:00:00"/>
    <n v="10"/>
    <n v="151"/>
    <n v="7"/>
    <n v="89"/>
    <n v="0"/>
    <n v="7"/>
    <n v="28"/>
    <n v="5"/>
    <n v="4"/>
    <n v="1"/>
    <n v="6"/>
    <n v="5"/>
    <x v="0"/>
    <x v="0"/>
    <x v="0"/>
    <x v="0"/>
    <x v="0"/>
    <n v="0"/>
    <n v="3"/>
    <n v="11"/>
    <x v="1"/>
  </r>
  <r>
    <n v="11074"/>
    <n v="1977"/>
    <x v="0"/>
    <s v="Single"/>
    <n v="85072"/>
    <n v="0"/>
    <n v="0"/>
    <d v="2014-04-09T00:00:00"/>
    <n v="94"/>
    <n v="494"/>
    <n v="92"/>
    <n v="391"/>
    <n v="194"/>
    <n v="11"/>
    <n v="241"/>
    <n v="1"/>
    <n v="3"/>
    <n v="4"/>
    <n v="10"/>
    <n v="0"/>
    <x v="0"/>
    <x v="0"/>
    <x v="0"/>
    <x v="0"/>
    <x v="0"/>
    <n v="0"/>
    <n v="3"/>
    <n v="11"/>
    <x v="1"/>
  </r>
  <r>
    <n v="10150"/>
    <n v="1961"/>
    <x v="0"/>
    <s v="Single"/>
    <n v="86429"/>
    <n v="0"/>
    <n v="0"/>
    <d v="2013-11-21T00:00:00"/>
    <n v="10"/>
    <n v="464"/>
    <n v="28"/>
    <n v="873"/>
    <n v="29"/>
    <n v="18"/>
    <n v="37"/>
    <n v="0"/>
    <n v="7"/>
    <n v="4"/>
    <n v="7"/>
    <n v="2"/>
    <x v="0"/>
    <x v="0"/>
    <x v="0"/>
    <x v="1"/>
    <x v="0"/>
    <n v="0"/>
    <n v="3"/>
    <n v="11"/>
    <x v="0"/>
  </r>
  <r>
    <n v="1968"/>
    <n v="1971"/>
    <x v="0"/>
    <s v="Widow"/>
    <n v="45684"/>
    <n v="1"/>
    <n v="0"/>
    <d v="2013-12-02T00:00:00"/>
    <n v="37"/>
    <n v="5"/>
    <n v="1"/>
    <n v="5"/>
    <n v="10"/>
    <n v="0"/>
    <n v="7"/>
    <n v="1"/>
    <n v="1"/>
    <n v="0"/>
    <n v="2"/>
    <n v="7"/>
    <x v="0"/>
    <x v="0"/>
    <x v="0"/>
    <x v="0"/>
    <x v="0"/>
    <n v="0"/>
    <n v="3"/>
    <n v="11"/>
    <x v="1"/>
  </r>
  <r>
    <n v="6534"/>
    <n v="1974"/>
    <x v="0"/>
    <s v="Together"/>
    <n v="47889"/>
    <n v="1"/>
    <n v="0"/>
    <d v="2014-01-04T00:00:00"/>
    <n v="94"/>
    <n v="29"/>
    <n v="0"/>
    <n v="29"/>
    <n v="0"/>
    <n v="5"/>
    <n v="4"/>
    <n v="1"/>
    <n v="2"/>
    <n v="0"/>
    <n v="3"/>
    <n v="5"/>
    <x v="0"/>
    <x v="0"/>
    <x v="0"/>
    <x v="0"/>
    <x v="0"/>
    <n v="0"/>
    <n v="3"/>
    <n v="11"/>
    <x v="1"/>
  </r>
  <r>
    <n v="9485"/>
    <n v="1986"/>
    <x v="1"/>
    <s v="Married"/>
    <n v="45921"/>
    <n v="0"/>
    <n v="0"/>
    <d v="2014-03-10T00:00:00"/>
    <n v="23"/>
    <n v="102"/>
    <n v="9"/>
    <n v="49"/>
    <n v="24"/>
    <n v="3"/>
    <n v="12"/>
    <n v="1"/>
    <n v="2"/>
    <n v="1"/>
    <n v="6"/>
    <n v="4"/>
    <x v="0"/>
    <x v="0"/>
    <x v="0"/>
    <x v="0"/>
    <x v="0"/>
    <n v="0"/>
    <n v="3"/>
    <n v="11"/>
    <x v="1"/>
  </r>
  <r>
    <n v="7053"/>
    <n v="1966"/>
    <x v="1"/>
    <s v="Single"/>
    <n v="78420"/>
    <n v="0"/>
    <n v="0"/>
    <d v="2013-06-29T00:00:00"/>
    <n v="75"/>
    <n v="604"/>
    <n v="28"/>
    <n v="674"/>
    <n v="91"/>
    <n v="28"/>
    <n v="28"/>
    <n v="1"/>
    <n v="3"/>
    <n v="10"/>
    <n v="8"/>
    <n v="1"/>
    <x v="0"/>
    <x v="0"/>
    <x v="0"/>
    <x v="0"/>
    <x v="0"/>
    <n v="0"/>
    <n v="3"/>
    <n v="11"/>
    <x v="1"/>
  </r>
  <r>
    <n v="4654"/>
    <n v="1992"/>
    <x v="0"/>
    <s v="Together"/>
    <n v="75114"/>
    <n v="0"/>
    <n v="0"/>
    <d v="2013-11-07T00:00:00"/>
    <n v="40"/>
    <n v="571"/>
    <n v="12"/>
    <n v="523"/>
    <n v="63"/>
    <n v="60"/>
    <n v="24"/>
    <n v="1"/>
    <n v="3"/>
    <n v="10"/>
    <n v="5"/>
    <n v="2"/>
    <x v="0"/>
    <x v="0"/>
    <x v="0"/>
    <x v="0"/>
    <x v="0"/>
    <n v="0"/>
    <n v="3"/>
    <n v="11"/>
    <x v="1"/>
  </r>
  <r>
    <n v="9760"/>
    <n v="1963"/>
    <x v="1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x v="0"/>
    <x v="0"/>
    <x v="0"/>
    <x v="0"/>
    <x v="0"/>
    <n v="0"/>
    <n v="3"/>
    <n v="11"/>
    <x v="0"/>
  </r>
  <r>
    <n v="1048"/>
    <n v="1972"/>
    <x v="2"/>
    <s v="Married"/>
    <n v="35641"/>
    <n v="1"/>
    <n v="0"/>
    <d v="2013-07-14T00:00:00"/>
    <n v="11"/>
    <n v="63"/>
    <n v="3"/>
    <n v="67"/>
    <n v="8"/>
    <n v="9"/>
    <n v="28"/>
    <n v="2"/>
    <n v="3"/>
    <n v="1"/>
    <n v="4"/>
    <n v="7"/>
    <x v="0"/>
    <x v="0"/>
    <x v="0"/>
    <x v="0"/>
    <x v="0"/>
    <n v="0"/>
    <n v="3"/>
    <n v="11"/>
    <x v="0"/>
  </r>
  <r>
    <n v="10619"/>
    <n v="1994"/>
    <x v="0"/>
    <s v="Single"/>
    <n v="95529"/>
    <n v="0"/>
    <n v="0"/>
    <d v="2012-12-03T00:00:00"/>
    <n v="29"/>
    <n v="770"/>
    <n v="29"/>
    <n v="890"/>
    <n v="250"/>
    <n v="27"/>
    <n v="24"/>
    <n v="1"/>
    <n v="7"/>
    <n v="3"/>
    <n v="7"/>
    <n v="3"/>
    <x v="0"/>
    <x v="0"/>
    <x v="1"/>
    <x v="0"/>
    <x v="0"/>
    <n v="0"/>
    <n v="3"/>
    <n v="11"/>
    <x v="0"/>
  </r>
  <r>
    <n v="9308"/>
    <n v="1954"/>
    <x v="0"/>
    <s v="Married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x v="0"/>
    <x v="0"/>
    <x v="0"/>
    <x v="0"/>
    <x v="0"/>
    <n v="0"/>
    <n v="3"/>
    <n v="11"/>
    <x v="1"/>
  </r>
  <r>
    <n v="10505"/>
    <n v="1960"/>
    <x v="2"/>
    <s v="Together"/>
    <n v="73113"/>
    <n v="0"/>
    <n v="0"/>
    <d v="2013-12-26T00:00:00"/>
    <n v="86"/>
    <n v="741"/>
    <n v="19"/>
    <n v="154"/>
    <n v="50"/>
    <n v="9"/>
    <n v="28"/>
    <n v="1"/>
    <n v="3"/>
    <n v="4"/>
    <n v="7"/>
    <n v="2"/>
    <x v="0"/>
    <x v="0"/>
    <x v="0"/>
    <x v="0"/>
    <x v="0"/>
    <n v="0"/>
    <n v="3"/>
    <n v="11"/>
    <x v="1"/>
  </r>
  <r>
    <n v="8362"/>
    <n v="1982"/>
    <x v="1"/>
    <s v="Married"/>
    <n v="84169"/>
    <n v="0"/>
    <n v="0"/>
    <d v="2013-08-07T00:00:00"/>
    <n v="9"/>
    <n v="1478"/>
    <n v="19"/>
    <n v="403"/>
    <n v="0"/>
    <n v="19"/>
    <n v="0"/>
    <n v="1"/>
    <n v="7"/>
    <n v="6"/>
    <n v="6"/>
    <n v="3"/>
    <x v="0"/>
    <x v="1"/>
    <x v="1"/>
    <x v="0"/>
    <x v="0"/>
    <n v="0"/>
    <n v="3"/>
    <n v="11"/>
    <x v="0"/>
  </r>
  <r>
    <n v="2625"/>
    <n v="1954"/>
    <x v="4"/>
    <s v="Single"/>
    <n v="42607"/>
    <n v="0"/>
    <n v="1"/>
    <d v="2013-11-17T00:00:00"/>
    <n v="30"/>
    <n v="156"/>
    <n v="29"/>
    <n v="56"/>
    <n v="30"/>
    <n v="32"/>
    <n v="47"/>
    <n v="2"/>
    <n v="3"/>
    <n v="2"/>
    <n v="7"/>
    <n v="3"/>
    <x v="0"/>
    <x v="0"/>
    <x v="0"/>
    <x v="0"/>
    <x v="0"/>
    <n v="0"/>
    <n v="3"/>
    <n v="11"/>
    <x v="1"/>
  </r>
  <r>
    <n v="4637"/>
    <n v="1954"/>
    <x v="1"/>
    <s v="Single"/>
    <n v="74637"/>
    <n v="0"/>
    <n v="0"/>
    <d v="2013-05-18T00:00:00"/>
    <n v="73"/>
    <n v="960"/>
    <n v="64"/>
    <n v="464"/>
    <n v="146"/>
    <n v="0"/>
    <n v="16"/>
    <n v="1"/>
    <n v="6"/>
    <n v="9"/>
    <n v="9"/>
    <n v="3"/>
    <x v="0"/>
    <x v="0"/>
    <x v="0"/>
    <x v="1"/>
    <x v="0"/>
    <n v="0"/>
    <n v="3"/>
    <n v="11"/>
    <x v="1"/>
  </r>
  <r>
    <n v="9972"/>
    <n v="1955"/>
    <x v="1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x v="1"/>
    <x v="0"/>
    <x v="0"/>
    <x v="0"/>
    <x v="1"/>
    <n v="0"/>
    <n v="3"/>
    <n v="11"/>
    <x v="1"/>
  </r>
  <r>
    <n v="4483"/>
    <n v="1993"/>
    <x v="0"/>
    <s v="Single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x v="0"/>
    <x v="0"/>
    <x v="0"/>
    <x v="0"/>
    <x v="0"/>
    <n v="0"/>
    <n v="3"/>
    <n v="11"/>
    <x v="1"/>
  </r>
  <r>
    <n v="4487"/>
    <n v="1969"/>
    <x v="2"/>
    <s v="Single"/>
    <n v="39858"/>
    <n v="1"/>
    <n v="0"/>
    <d v="2013-01-24T00:00:00"/>
    <n v="67"/>
    <n v="15"/>
    <n v="20"/>
    <n v="25"/>
    <n v="2"/>
    <n v="7"/>
    <n v="26"/>
    <n v="1"/>
    <n v="2"/>
    <n v="0"/>
    <n v="4"/>
    <n v="6"/>
    <x v="0"/>
    <x v="0"/>
    <x v="0"/>
    <x v="0"/>
    <x v="0"/>
    <n v="0"/>
    <n v="3"/>
    <n v="11"/>
    <x v="0"/>
  </r>
  <r>
    <n v="4988"/>
    <n v="1948"/>
    <x v="1"/>
    <s v="Married"/>
    <n v="34469"/>
    <n v="1"/>
    <n v="1"/>
    <d v="2014-05-04T00:00:00"/>
    <n v="58"/>
    <n v="19"/>
    <n v="6"/>
    <n v="20"/>
    <n v="0"/>
    <n v="5"/>
    <n v="12"/>
    <n v="3"/>
    <n v="1"/>
    <n v="1"/>
    <n v="4"/>
    <n v="4"/>
    <x v="0"/>
    <x v="0"/>
    <x v="0"/>
    <x v="0"/>
    <x v="0"/>
    <n v="0"/>
    <n v="3"/>
    <n v="11"/>
    <x v="1"/>
  </r>
  <r>
    <n v="8931"/>
    <n v="1986"/>
    <x v="0"/>
    <s v="Together"/>
    <n v="83033"/>
    <n v="1"/>
    <n v="0"/>
    <d v="2014-05-18T00:00:00"/>
    <n v="82"/>
    <n v="812"/>
    <n v="99"/>
    <n v="431"/>
    <n v="237"/>
    <n v="149"/>
    <n v="33"/>
    <n v="1"/>
    <n v="11"/>
    <n v="4"/>
    <n v="10"/>
    <n v="5"/>
    <x v="0"/>
    <x v="0"/>
    <x v="0"/>
    <x v="1"/>
    <x v="0"/>
    <n v="0"/>
    <n v="3"/>
    <n v="11"/>
    <x v="1"/>
  </r>
  <r>
    <n v="5871"/>
    <n v="1979"/>
    <x v="2"/>
    <s v="Together"/>
    <n v="24401"/>
    <n v="0"/>
    <n v="0"/>
    <d v="2012-08-31T00:00:00"/>
    <n v="98"/>
    <n v="73"/>
    <n v="28"/>
    <n v="217"/>
    <n v="10"/>
    <n v="24"/>
    <n v="115"/>
    <n v="3"/>
    <n v="6"/>
    <n v="1"/>
    <n v="6"/>
    <n v="8"/>
    <x v="0"/>
    <x v="0"/>
    <x v="0"/>
    <x v="0"/>
    <x v="0"/>
    <n v="0"/>
    <n v="3"/>
    <n v="11"/>
    <x v="1"/>
  </r>
  <r>
    <n v="2008"/>
    <n v="1978"/>
    <x v="0"/>
    <s v="Married"/>
    <n v="77583"/>
    <n v="0"/>
    <n v="0"/>
    <d v="2014-02-10T00:00:00"/>
    <n v="93"/>
    <n v="372"/>
    <n v="23"/>
    <n v="384"/>
    <n v="250"/>
    <n v="12"/>
    <n v="108"/>
    <n v="1"/>
    <n v="4"/>
    <n v="5"/>
    <n v="9"/>
    <n v="2"/>
    <x v="0"/>
    <x v="0"/>
    <x v="0"/>
    <x v="1"/>
    <x v="0"/>
    <n v="0"/>
    <n v="3"/>
    <n v="11"/>
    <x v="1"/>
  </r>
  <r>
    <n v="3139"/>
    <n v="1982"/>
    <x v="4"/>
    <s v="Single"/>
    <n v="74116"/>
    <n v="0"/>
    <n v="0"/>
    <d v="2013-12-30T00:00:00"/>
    <n v="53"/>
    <n v="871"/>
    <n v="111"/>
    <n v="704"/>
    <n v="145"/>
    <n v="55"/>
    <n v="166"/>
    <n v="1"/>
    <n v="4"/>
    <n v="4"/>
    <n v="10"/>
    <n v="2"/>
    <x v="0"/>
    <x v="1"/>
    <x v="0"/>
    <x v="0"/>
    <x v="0"/>
    <n v="0"/>
    <n v="3"/>
    <n v="11"/>
    <x v="1"/>
  </r>
  <r>
    <n v="10037"/>
    <n v="1993"/>
    <x v="0"/>
    <s v="Single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x v="0"/>
    <x v="0"/>
    <x v="0"/>
    <x v="0"/>
    <x v="0"/>
    <n v="0"/>
    <n v="3"/>
    <n v="11"/>
    <x v="1"/>
  </r>
  <r>
    <n v="10673"/>
    <n v="1976"/>
    <x v="1"/>
    <s v="Married"/>
    <n v="68397"/>
    <n v="0"/>
    <n v="1"/>
    <d v="2013-11-17T00:00:00"/>
    <n v="6"/>
    <n v="760"/>
    <n v="80"/>
    <n v="466"/>
    <n v="17"/>
    <n v="13"/>
    <n v="80"/>
    <n v="1"/>
    <n v="6"/>
    <n v="9"/>
    <n v="5"/>
    <n v="3"/>
    <x v="0"/>
    <x v="0"/>
    <x v="0"/>
    <x v="0"/>
    <x v="0"/>
    <n v="0"/>
    <n v="3"/>
    <n v="11"/>
    <x v="1"/>
  </r>
  <r>
    <n v="5303"/>
    <n v="1974"/>
    <x v="1"/>
    <s v="Together"/>
    <n v="79632"/>
    <n v="0"/>
    <n v="0"/>
    <d v="2014-04-08T00:00:00"/>
    <n v="42"/>
    <n v="471"/>
    <n v="0"/>
    <n v="510"/>
    <n v="99"/>
    <n v="21"/>
    <n v="12"/>
    <n v="1"/>
    <n v="6"/>
    <n v="4"/>
    <n v="9"/>
    <n v="2"/>
    <x v="0"/>
    <x v="0"/>
    <x v="0"/>
    <x v="0"/>
    <x v="0"/>
    <n v="0"/>
    <n v="3"/>
    <n v="11"/>
    <x v="1"/>
  </r>
  <r>
    <n v="538"/>
    <n v="1989"/>
    <x v="0"/>
    <s v="Single"/>
    <n v="46107"/>
    <n v="1"/>
    <n v="0"/>
    <d v="2014-02-10T00:00:00"/>
    <n v="78"/>
    <n v="31"/>
    <n v="9"/>
    <n v="27"/>
    <n v="16"/>
    <n v="9"/>
    <n v="33"/>
    <n v="1"/>
    <n v="1"/>
    <n v="1"/>
    <n v="4"/>
    <n v="3"/>
    <x v="0"/>
    <x v="0"/>
    <x v="0"/>
    <x v="0"/>
    <x v="0"/>
    <n v="0"/>
    <n v="3"/>
    <n v="11"/>
    <x v="1"/>
  </r>
  <r>
    <n v="7922"/>
    <n v="1951"/>
    <x v="1"/>
    <s v="Single"/>
    <n v="64950"/>
    <n v="0"/>
    <n v="1"/>
    <d v="2012-08-12T00:00:00"/>
    <n v="29"/>
    <n v="819"/>
    <n v="0"/>
    <n v="72"/>
    <n v="12"/>
    <n v="0"/>
    <n v="63"/>
    <n v="2"/>
    <n v="11"/>
    <n v="2"/>
    <n v="10"/>
    <n v="7"/>
    <x v="0"/>
    <x v="1"/>
    <x v="0"/>
    <x v="0"/>
    <x v="0"/>
    <n v="0"/>
    <n v="3"/>
    <n v="11"/>
    <x v="1"/>
  </r>
  <r>
    <n v="5692"/>
    <n v="1989"/>
    <x v="3"/>
    <s v="Married"/>
    <n v="25443"/>
    <n v="1"/>
    <n v="0"/>
    <d v="2012-12-22T00:00:00"/>
    <n v="82"/>
    <n v="1"/>
    <n v="4"/>
    <n v="3"/>
    <n v="8"/>
    <n v="9"/>
    <n v="7"/>
    <n v="1"/>
    <n v="1"/>
    <n v="0"/>
    <n v="3"/>
    <n v="8"/>
    <x v="0"/>
    <x v="0"/>
    <x v="0"/>
    <x v="0"/>
    <x v="0"/>
    <n v="0"/>
    <n v="3"/>
    <n v="11"/>
    <x v="1"/>
  </r>
  <r>
    <n v="4843"/>
    <n v="1952"/>
    <x v="0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x v="0"/>
    <x v="0"/>
    <x v="0"/>
    <x v="0"/>
    <x v="0"/>
    <n v="0"/>
    <n v="3"/>
    <n v="11"/>
    <x v="1"/>
  </r>
  <r>
    <n v="6383"/>
    <n v="1971"/>
    <x v="1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x v="0"/>
    <x v="0"/>
    <x v="0"/>
    <x v="0"/>
    <x v="0"/>
    <n v="0"/>
    <n v="3"/>
    <n v="11"/>
    <x v="1"/>
  </r>
  <r>
    <n v="1628"/>
    <n v="1971"/>
    <x v="0"/>
    <s v="Together"/>
    <n v="71796"/>
    <n v="0"/>
    <n v="0"/>
    <d v="2013-10-24T00:00:00"/>
    <n v="54"/>
    <n v="354"/>
    <n v="21"/>
    <n v="311"/>
    <n v="167"/>
    <n v="75"/>
    <n v="32"/>
    <n v="1"/>
    <n v="9"/>
    <n v="3"/>
    <n v="4"/>
    <n v="4"/>
    <x v="0"/>
    <x v="0"/>
    <x v="0"/>
    <x v="0"/>
    <x v="0"/>
    <n v="0"/>
    <n v="3"/>
    <n v="11"/>
    <x v="1"/>
  </r>
  <r>
    <n v="1204"/>
    <n v="1970"/>
    <x v="1"/>
    <s v="Married"/>
    <n v="67536"/>
    <n v="0"/>
    <n v="1"/>
    <d v="2013-05-22T00:00:00"/>
    <n v="45"/>
    <n v="1253"/>
    <n v="0"/>
    <n v="447"/>
    <n v="23"/>
    <n v="71"/>
    <n v="35"/>
    <n v="3"/>
    <n v="11"/>
    <n v="5"/>
    <n v="11"/>
    <n v="8"/>
    <x v="0"/>
    <x v="0"/>
    <x v="0"/>
    <x v="1"/>
    <x v="0"/>
    <n v="0"/>
    <n v="3"/>
    <n v="11"/>
    <x v="1"/>
  </r>
  <r>
    <n v="3673"/>
    <n v="1971"/>
    <x v="0"/>
    <s v="Single"/>
    <n v="55239"/>
    <n v="0"/>
    <n v="1"/>
    <d v="2013-07-14T00:00:00"/>
    <n v="59"/>
    <n v="371"/>
    <n v="17"/>
    <n v="238"/>
    <n v="23"/>
    <n v="24"/>
    <n v="106"/>
    <n v="3"/>
    <n v="7"/>
    <n v="5"/>
    <n v="11"/>
    <n v="5"/>
    <x v="0"/>
    <x v="0"/>
    <x v="0"/>
    <x v="0"/>
    <x v="0"/>
    <n v="0"/>
    <n v="3"/>
    <n v="11"/>
    <x v="1"/>
  </r>
  <r>
    <n v="760"/>
    <n v="1975"/>
    <x v="1"/>
    <s v="Divorced"/>
    <n v="60554"/>
    <n v="1"/>
    <n v="0"/>
    <d v="2013-08-09T00:00:00"/>
    <n v="8"/>
    <n v="588"/>
    <n v="7"/>
    <n v="76"/>
    <n v="110"/>
    <n v="15"/>
    <n v="15"/>
    <n v="2"/>
    <n v="8"/>
    <n v="4"/>
    <n v="9"/>
    <n v="6"/>
    <x v="0"/>
    <x v="0"/>
    <x v="0"/>
    <x v="0"/>
    <x v="0"/>
    <n v="0"/>
    <n v="3"/>
    <n v="11"/>
    <x v="1"/>
  </r>
  <r>
    <n v="8957"/>
    <n v="1952"/>
    <x v="4"/>
    <s v="Single"/>
    <n v="64831"/>
    <n v="1"/>
    <n v="1"/>
    <d v="2013-06-10T00:00:00"/>
    <n v="51"/>
    <n v="480"/>
    <n v="86"/>
    <n v="249"/>
    <n v="75"/>
    <n v="86"/>
    <n v="144"/>
    <n v="8"/>
    <n v="6"/>
    <n v="3"/>
    <n v="5"/>
    <n v="6"/>
    <x v="0"/>
    <x v="0"/>
    <x v="0"/>
    <x v="0"/>
    <x v="0"/>
    <n v="0"/>
    <n v="3"/>
    <n v="11"/>
    <x v="1"/>
  </r>
  <r>
    <n v="4128"/>
    <n v="1962"/>
    <x v="1"/>
    <s v="Together"/>
    <n v="56067"/>
    <n v="0"/>
    <n v="1"/>
    <d v="2013-07-20T00:00:00"/>
    <n v="51"/>
    <n v="517"/>
    <n v="12"/>
    <n v="54"/>
    <n v="16"/>
    <n v="6"/>
    <n v="120"/>
    <n v="2"/>
    <n v="7"/>
    <n v="4"/>
    <n v="7"/>
    <n v="5"/>
    <x v="0"/>
    <x v="0"/>
    <x v="0"/>
    <x v="0"/>
    <x v="0"/>
    <n v="0"/>
    <n v="3"/>
    <n v="11"/>
    <x v="1"/>
  </r>
  <r>
    <n v="6810"/>
    <n v="1983"/>
    <x v="0"/>
    <s v="Divorced"/>
    <n v="82025"/>
    <n v="0"/>
    <n v="0"/>
    <d v="2013-05-28T00:00:00"/>
    <n v="76"/>
    <n v="267"/>
    <n v="98"/>
    <n v="606"/>
    <n v="48"/>
    <n v="70"/>
    <n v="98"/>
    <n v="1"/>
    <n v="3"/>
    <n v="2"/>
    <n v="6"/>
    <n v="1"/>
    <x v="0"/>
    <x v="0"/>
    <x v="1"/>
    <x v="0"/>
    <x v="0"/>
    <n v="0"/>
    <n v="3"/>
    <n v="11"/>
    <x v="0"/>
  </r>
  <r>
    <n v="5386"/>
    <n v="1953"/>
    <x v="0"/>
    <s v="Together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x v="0"/>
    <x v="1"/>
    <x v="1"/>
    <x v="1"/>
    <x v="0"/>
    <n v="0"/>
    <n v="3"/>
    <n v="11"/>
    <x v="0"/>
  </r>
  <r>
    <n v="8700"/>
    <n v="1986"/>
    <x v="3"/>
    <s v="Single"/>
    <n v="14906"/>
    <n v="0"/>
    <n v="0"/>
    <d v="2012-12-22T00:00:00"/>
    <n v="86"/>
    <n v="7"/>
    <n v="7"/>
    <n v="14"/>
    <n v="7"/>
    <n v="16"/>
    <n v="15"/>
    <n v="3"/>
    <n v="2"/>
    <n v="1"/>
    <n v="3"/>
    <n v="7"/>
    <x v="0"/>
    <x v="0"/>
    <x v="0"/>
    <x v="0"/>
    <x v="0"/>
    <n v="0"/>
    <n v="3"/>
    <n v="11"/>
    <x v="1"/>
  </r>
  <r>
    <n v="3202"/>
    <n v="1987"/>
    <x v="1"/>
    <s v="Married"/>
    <n v="51563"/>
    <n v="0"/>
    <n v="0"/>
    <d v="2012-10-01T00:00:00"/>
    <n v="60"/>
    <n v="1166"/>
    <n v="0"/>
    <n v="48"/>
    <n v="0"/>
    <n v="0"/>
    <n v="36"/>
    <n v="1"/>
    <n v="4"/>
    <n v="4"/>
    <n v="10"/>
    <n v="8"/>
    <x v="0"/>
    <x v="1"/>
    <x v="1"/>
    <x v="0"/>
    <x v="0"/>
    <n v="0"/>
    <n v="3"/>
    <n v="11"/>
    <x v="1"/>
  </r>
  <r>
    <n v="1328"/>
    <n v="1982"/>
    <x v="4"/>
    <s v="Married"/>
    <n v="57937"/>
    <n v="0"/>
    <n v="1"/>
    <d v="2014-02-16T00:00:00"/>
    <n v="56"/>
    <n v="261"/>
    <n v="42"/>
    <n v="144"/>
    <n v="55"/>
    <n v="48"/>
    <n v="133"/>
    <n v="3"/>
    <n v="4"/>
    <n v="4"/>
    <n v="9"/>
    <n v="3"/>
    <x v="0"/>
    <x v="0"/>
    <x v="0"/>
    <x v="0"/>
    <x v="0"/>
    <n v="0"/>
    <n v="3"/>
    <n v="11"/>
    <x v="1"/>
  </r>
  <r>
    <n v="8405"/>
    <n v="1979"/>
    <x v="0"/>
    <s v="Divorced"/>
    <n v="68274"/>
    <n v="1"/>
    <n v="1"/>
    <d v="2013-09-30T00:00:00"/>
    <n v="83"/>
    <n v="135"/>
    <n v="25"/>
    <n v="51"/>
    <n v="23"/>
    <n v="25"/>
    <n v="46"/>
    <n v="2"/>
    <n v="4"/>
    <n v="2"/>
    <n v="5"/>
    <n v="3"/>
    <x v="0"/>
    <x v="0"/>
    <x v="0"/>
    <x v="0"/>
    <x v="0"/>
    <n v="0"/>
    <n v="3"/>
    <n v="11"/>
    <x v="1"/>
  </r>
  <r>
    <n v="6515"/>
    <n v="1977"/>
    <x v="0"/>
    <s v="Together"/>
    <n v="39771"/>
    <n v="1"/>
    <n v="0"/>
    <d v="2013-12-06T00:00:00"/>
    <n v="92"/>
    <n v="6"/>
    <n v="2"/>
    <n v="18"/>
    <n v="2"/>
    <n v="8"/>
    <n v="14"/>
    <n v="1"/>
    <n v="2"/>
    <n v="0"/>
    <n v="3"/>
    <n v="4"/>
    <x v="0"/>
    <x v="0"/>
    <x v="0"/>
    <x v="0"/>
    <x v="0"/>
    <n v="0"/>
    <n v="3"/>
    <n v="11"/>
    <x v="1"/>
  </r>
  <r>
    <n v="2882"/>
    <n v="1975"/>
    <x v="4"/>
    <s v="Divorced"/>
    <n v="67893"/>
    <n v="0"/>
    <n v="1"/>
    <d v="2012-10-01T00:00:00"/>
    <n v="31"/>
    <n v="711"/>
    <n v="28"/>
    <n v="142"/>
    <n v="49"/>
    <n v="18"/>
    <n v="47"/>
    <n v="2"/>
    <n v="3"/>
    <n v="2"/>
    <n v="9"/>
    <n v="8"/>
    <x v="0"/>
    <x v="0"/>
    <x v="0"/>
    <x v="0"/>
    <x v="0"/>
    <n v="0"/>
    <n v="3"/>
    <n v="11"/>
    <x v="1"/>
  </r>
  <r>
    <n v="7574"/>
    <n v="1979"/>
    <x v="1"/>
    <s v="Together"/>
    <n v="27922"/>
    <n v="1"/>
    <n v="0"/>
    <d v="2014-05-10T00:00:00"/>
    <n v="80"/>
    <n v="11"/>
    <n v="0"/>
    <n v="13"/>
    <n v="2"/>
    <n v="4"/>
    <n v="11"/>
    <n v="1"/>
    <n v="2"/>
    <n v="0"/>
    <n v="3"/>
    <n v="4"/>
    <x v="0"/>
    <x v="0"/>
    <x v="0"/>
    <x v="0"/>
    <x v="0"/>
    <n v="0"/>
    <n v="3"/>
    <n v="11"/>
    <x v="1"/>
  </r>
  <r>
    <n v="6387"/>
    <n v="1976"/>
    <x v="1"/>
    <s v="Together"/>
    <n v="52190"/>
    <n v="1"/>
    <n v="1"/>
    <d v="2014-05-08T00:00:00"/>
    <n v="39"/>
    <n v="42"/>
    <n v="0"/>
    <n v="17"/>
    <n v="0"/>
    <n v="0"/>
    <n v="18"/>
    <n v="3"/>
    <n v="2"/>
    <n v="1"/>
    <n v="3"/>
    <n v="5"/>
    <x v="1"/>
    <x v="0"/>
    <x v="0"/>
    <x v="0"/>
    <x v="0"/>
    <n v="0"/>
    <n v="3"/>
    <n v="11"/>
    <x v="1"/>
  </r>
  <r>
    <n v="5320"/>
    <n v="1973"/>
    <x v="2"/>
    <s v="Divorced"/>
    <n v="44051"/>
    <n v="1"/>
    <n v="1"/>
    <d v="2013-01-29T00:00:00"/>
    <n v="20"/>
    <n v="79"/>
    <n v="7"/>
    <n v="58"/>
    <n v="6"/>
    <n v="3"/>
    <n v="18"/>
    <n v="4"/>
    <n v="3"/>
    <n v="1"/>
    <n v="4"/>
    <n v="6"/>
    <x v="0"/>
    <x v="0"/>
    <x v="0"/>
    <x v="0"/>
    <x v="0"/>
    <n v="0"/>
    <n v="3"/>
    <n v="11"/>
    <x v="0"/>
  </r>
  <r>
    <n v="5048"/>
    <n v="1971"/>
    <x v="1"/>
    <s v="Single"/>
    <n v="42767"/>
    <n v="2"/>
    <n v="0"/>
    <d v="2013-05-11T00:00:00"/>
    <n v="53"/>
    <n v="20"/>
    <n v="6"/>
    <n v="43"/>
    <n v="19"/>
    <n v="5"/>
    <n v="38"/>
    <n v="1"/>
    <n v="3"/>
    <n v="1"/>
    <n v="2"/>
    <n v="8"/>
    <x v="0"/>
    <x v="0"/>
    <x v="0"/>
    <x v="0"/>
    <x v="0"/>
    <n v="0"/>
    <n v="3"/>
    <n v="11"/>
    <x v="1"/>
  </r>
  <r>
    <n v="8146"/>
    <n v="1976"/>
    <x v="2"/>
    <s v="Together"/>
    <n v="46106"/>
    <n v="1"/>
    <n v="1"/>
    <d v="2014-05-11T00:00:00"/>
    <n v="84"/>
    <n v="30"/>
    <n v="0"/>
    <n v="8"/>
    <n v="2"/>
    <n v="0"/>
    <n v="14"/>
    <n v="1"/>
    <n v="1"/>
    <n v="1"/>
    <n v="2"/>
    <n v="6"/>
    <x v="0"/>
    <x v="0"/>
    <x v="0"/>
    <x v="0"/>
    <x v="0"/>
    <n v="0"/>
    <n v="3"/>
    <n v="11"/>
    <x v="1"/>
  </r>
  <r>
    <n v="10031"/>
    <n v="1976"/>
    <x v="1"/>
    <s v="Married"/>
    <n v="16927"/>
    <n v="1"/>
    <n v="1"/>
    <d v="2013-02-10T00:00:00"/>
    <n v="50"/>
    <n v="20"/>
    <n v="2"/>
    <n v="23"/>
    <n v="3"/>
    <n v="1"/>
    <n v="4"/>
    <n v="5"/>
    <n v="3"/>
    <n v="0"/>
    <n v="4"/>
    <n v="8"/>
    <x v="0"/>
    <x v="0"/>
    <x v="0"/>
    <x v="0"/>
    <x v="0"/>
    <n v="0"/>
    <n v="3"/>
    <n v="11"/>
    <x v="1"/>
  </r>
  <r>
    <n v="5748"/>
    <n v="1965"/>
    <x v="0"/>
    <s v="Married"/>
    <n v="59754"/>
    <n v="0"/>
    <n v="1"/>
    <d v="2012-12-01T00:00:00"/>
    <n v="96"/>
    <n v="115"/>
    <n v="27"/>
    <n v="44"/>
    <n v="4"/>
    <n v="146"/>
    <n v="139"/>
    <n v="3"/>
    <n v="5"/>
    <n v="2"/>
    <n v="6"/>
    <n v="5"/>
    <x v="0"/>
    <x v="0"/>
    <x v="0"/>
    <x v="0"/>
    <x v="0"/>
    <n v="0"/>
    <n v="3"/>
    <n v="11"/>
    <x v="0"/>
  </r>
  <r>
    <n v="2134"/>
    <n v="1952"/>
    <x v="0"/>
    <s v="Single"/>
    <n v="53700"/>
    <n v="0"/>
    <n v="1"/>
    <d v="2012-08-17T00:00:00"/>
    <n v="94"/>
    <n v="263"/>
    <n v="5"/>
    <n v="233"/>
    <n v="69"/>
    <n v="41"/>
    <n v="83"/>
    <n v="4"/>
    <n v="5"/>
    <n v="5"/>
    <n v="8"/>
    <n v="5"/>
    <x v="0"/>
    <x v="0"/>
    <x v="0"/>
    <x v="0"/>
    <x v="0"/>
    <n v="0"/>
    <n v="3"/>
    <n v="11"/>
    <x v="1"/>
  </r>
  <r>
    <n v="1523"/>
    <n v="1973"/>
    <x v="0"/>
    <s v="Married"/>
    <n v="59041"/>
    <n v="1"/>
    <n v="1"/>
    <d v="2014-05-07T00:00:00"/>
    <n v="25"/>
    <n v="69"/>
    <n v="2"/>
    <n v="15"/>
    <n v="2"/>
    <n v="2"/>
    <n v="6"/>
    <n v="2"/>
    <n v="2"/>
    <n v="0"/>
    <n v="4"/>
    <n v="5"/>
    <x v="0"/>
    <x v="0"/>
    <x v="0"/>
    <x v="0"/>
    <x v="0"/>
    <n v="0"/>
    <n v="3"/>
    <n v="11"/>
    <x v="1"/>
  </r>
  <r>
    <n v="9665"/>
    <n v="1957"/>
    <x v="1"/>
    <s v="Divorced"/>
    <n v="54237"/>
    <n v="0"/>
    <n v="1"/>
    <d v="2013-04-27T00:00:00"/>
    <n v="48"/>
    <n v="267"/>
    <n v="3"/>
    <n v="30"/>
    <n v="4"/>
    <n v="0"/>
    <n v="57"/>
    <n v="4"/>
    <n v="5"/>
    <n v="2"/>
    <n v="5"/>
    <n v="6"/>
    <x v="0"/>
    <x v="0"/>
    <x v="0"/>
    <x v="0"/>
    <x v="0"/>
    <n v="0"/>
    <n v="3"/>
    <n v="11"/>
    <x v="1"/>
  </r>
  <r>
    <n v="4640"/>
    <n v="1967"/>
    <x v="0"/>
    <s v="Divorced"/>
    <n v="70647"/>
    <n v="0"/>
    <n v="1"/>
    <d v="2012-09-21T00:00:00"/>
    <n v="65"/>
    <n v="561"/>
    <n v="85"/>
    <n v="171"/>
    <n v="25"/>
    <n v="123"/>
    <n v="114"/>
    <n v="2"/>
    <n v="4"/>
    <n v="7"/>
    <n v="13"/>
    <n v="2"/>
    <x v="0"/>
    <x v="0"/>
    <x v="0"/>
    <x v="0"/>
    <x v="0"/>
    <n v="0"/>
    <n v="3"/>
    <n v="11"/>
    <x v="1"/>
  </r>
  <r>
    <n v="3635"/>
    <n v="1962"/>
    <x v="1"/>
    <s v="Single"/>
    <n v="52597"/>
    <n v="0"/>
    <n v="1"/>
    <d v="2014-05-07T00:00:00"/>
    <n v="69"/>
    <n v="492"/>
    <n v="0"/>
    <n v="37"/>
    <n v="7"/>
    <n v="0"/>
    <n v="42"/>
    <n v="3"/>
    <n v="6"/>
    <n v="3"/>
    <n v="8"/>
    <n v="5"/>
    <x v="0"/>
    <x v="0"/>
    <x v="0"/>
    <x v="0"/>
    <x v="0"/>
    <n v="0"/>
    <n v="3"/>
    <n v="11"/>
    <x v="1"/>
  </r>
  <r>
    <n v="3547"/>
    <n v="1969"/>
    <x v="2"/>
    <s v="Together"/>
    <n v="41021"/>
    <n v="1"/>
    <n v="0"/>
    <d v="2012-12-30T00:00:00"/>
    <n v="12"/>
    <n v="14"/>
    <n v="7"/>
    <n v="9"/>
    <n v="6"/>
    <n v="16"/>
    <n v="12"/>
    <n v="2"/>
    <n v="2"/>
    <n v="0"/>
    <n v="3"/>
    <n v="6"/>
    <x v="0"/>
    <x v="0"/>
    <x v="0"/>
    <x v="0"/>
    <x v="0"/>
    <n v="0"/>
    <n v="3"/>
    <n v="11"/>
    <x v="0"/>
  </r>
  <r>
    <n v="2456"/>
    <n v="1975"/>
    <x v="1"/>
    <s v="Married"/>
    <n v="40233"/>
    <n v="0"/>
    <n v="1"/>
    <d v="2013-10-14T00:00:00"/>
    <n v="84"/>
    <n v="80"/>
    <n v="4"/>
    <n v="46"/>
    <n v="0"/>
    <n v="17"/>
    <n v="2"/>
    <n v="5"/>
    <n v="2"/>
    <n v="1"/>
    <n v="5"/>
    <n v="6"/>
    <x v="0"/>
    <x v="0"/>
    <x v="0"/>
    <x v="0"/>
    <x v="0"/>
    <n v="0"/>
    <n v="3"/>
    <n v="11"/>
    <x v="1"/>
  </r>
  <r>
    <n v="5633"/>
    <n v="1980"/>
    <x v="0"/>
    <s v="Married"/>
    <n v="50183"/>
    <n v="1"/>
    <n v="1"/>
    <d v="2014-06-25T00:00:00"/>
    <n v="47"/>
    <n v="97"/>
    <n v="12"/>
    <n v="84"/>
    <n v="13"/>
    <n v="10"/>
    <n v="15"/>
    <n v="7"/>
    <n v="3"/>
    <n v="1"/>
    <n v="6"/>
    <n v="5"/>
    <x v="0"/>
    <x v="0"/>
    <x v="0"/>
    <x v="0"/>
    <x v="0"/>
    <n v="0"/>
    <n v="3"/>
    <n v="11"/>
    <x v="1"/>
  </r>
  <r>
    <n v="7801"/>
    <n v="1959"/>
    <x v="0"/>
    <s v="Together"/>
    <n v="54753"/>
    <n v="0"/>
    <n v="1"/>
    <d v="2013-09-12T00:00:00"/>
    <n v="87"/>
    <n v="197"/>
    <n v="107"/>
    <n v="227"/>
    <n v="7"/>
    <n v="59"/>
    <n v="131"/>
    <n v="3"/>
    <n v="5"/>
    <n v="2"/>
    <n v="11"/>
    <n v="4"/>
    <x v="0"/>
    <x v="0"/>
    <x v="0"/>
    <x v="0"/>
    <x v="0"/>
    <n v="0"/>
    <n v="3"/>
    <n v="11"/>
    <x v="1"/>
  </r>
  <r>
    <n v="10489"/>
    <n v="1973"/>
    <x v="0"/>
    <s v="Married"/>
    <n v="92955"/>
    <n v="0"/>
    <n v="0"/>
    <d v="2013-08-19T00:00:00"/>
    <n v="35"/>
    <n v="693"/>
    <n v="21"/>
    <n v="925"/>
    <n v="31"/>
    <n v="24"/>
    <n v="84"/>
    <n v="1"/>
    <n v="6"/>
    <n v="7"/>
    <n v="9"/>
    <n v="2"/>
    <x v="0"/>
    <x v="0"/>
    <x v="1"/>
    <x v="1"/>
    <x v="0"/>
    <n v="0"/>
    <n v="3"/>
    <n v="11"/>
    <x v="0"/>
  </r>
  <r>
    <n v="7011"/>
    <n v="1973"/>
    <x v="0"/>
    <s v="Married"/>
    <n v="33471"/>
    <n v="1"/>
    <n v="0"/>
    <d v="2012-10-12T00:00:00"/>
    <n v="47"/>
    <n v="43"/>
    <n v="2"/>
    <n v="27"/>
    <n v="0"/>
    <n v="9"/>
    <n v="12"/>
    <n v="3"/>
    <n v="3"/>
    <n v="0"/>
    <n v="4"/>
    <n v="7"/>
    <x v="0"/>
    <x v="0"/>
    <x v="0"/>
    <x v="0"/>
    <x v="0"/>
    <n v="0"/>
    <n v="3"/>
    <n v="11"/>
    <x v="1"/>
  </r>
  <r>
    <n v="2620"/>
    <n v="1974"/>
    <x v="1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x v="0"/>
    <x v="0"/>
    <x v="0"/>
    <x v="0"/>
    <x v="0"/>
    <n v="0"/>
    <n v="3"/>
    <n v="11"/>
    <x v="0"/>
  </r>
  <r>
    <n v="3933"/>
    <n v="1980"/>
    <x v="0"/>
    <s v="Together"/>
    <n v="44010"/>
    <n v="1"/>
    <n v="0"/>
    <d v="2012-10-13T00:00:00"/>
    <n v="46"/>
    <n v="186"/>
    <n v="36"/>
    <n v="234"/>
    <n v="86"/>
    <n v="72"/>
    <n v="48"/>
    <n v="6"/>
    <n v="10"/>
    <n v="2"/>
    <n v="6"/>
    <n v="9"/>
    <x v="0"/>
    <x v="0"/>
    <x v="0"/>
    <x v="0"/>
    <x v="0"/>
    <n v="0"/>
    <n v="3"/>
    <n v="11"/>
    <x v="1"/>
  </r>
  <r>
    <n v="10981"/>
    <n v="1988"/>
    <x v="0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x v="0"/>
    <x v="0"/>
    <x v="0"/>
    <x v="0"/>
    <x v="0"/>
    <n v="0"/>
    <n v="3"/>
    <n v="11"/>
    <x v="1"/>
  </r>
  <r>
    <n v="1734"/>
    <n v="1968"/>
    <x v="1"/>
    <s v="Together"/>
    <n v="40706"/>
    <n v="2"/>
    <n v="1"/>
    <d v="2013-01-17T00:00:00"/>
    <n v="37"/>
    <n v="59"/>
    <n v="0"/>
    <n v="11"/>
    <n v="4"/>
    <n v="2"/>
    <n v="5"/>
    <n v="4"/>
    <n v="3"/>
    <n v="0"/>
    <n v="4"/>
    <n v="7"/>
    <x v="0"/>
    <x v="0"/>
    <x v="0"/>
    <x v="0"/>
    <x v="0"/>
    <n v="0"/>
    <n v="3"/>
    <n v="11"/>
    <x v="1"/>
  </r>
  <r>
    <n v="10995"/>
    <n v="1988"/>
    <x v="4"/>
    <s v="Married"/>
    <n v="15716"/>
    <n v="1"/>
    <n v="0"/>
    <d v="2012-11-12T00:00:00"/>
    <n v="8"/>
    <n v="16"/>
    <n v="5"/>
    <n v="30"/>
    <n v="8"/>
    <n v="7"/>
    <n v="26"/>
    <n v="3"/>
    <n v="3"/>
    <n v="0"/>
    <n v="4"/>
    <n v="8"/>
    <x v="0"/>
    <x v="0"/>
    <x v="0"/>
    <x v="0"/>
    <x v="0"/>
    <n v="1"/>
    <n v="3"/>
    <n v="11"/>
    <x v="1"/>
  </r>
  <r>
    <n v="6357"/>
    <n v="1959"/>
    <x v="4"/>
    <s v="Divorced"/>
    <n v="59052"/>
    <n v="0"/>
    <n v="1"/>
    <d v="2013-11-17T00:00:00"/>
    <n v="29"/>
    <n v="230"/>
    <n v="35"/>
    <n v="75"/>
    <n v="63"/>
    <n v="57"/>
    <n v="31"/>
    <n v="3"/>
    <n v="7"/>
    <n v="1"/>
    <n v="7"/>
    <n v="5"/>
    <x v="0"/>
    <x v="0"/>
    <x v="0"/>
    <x v="0"/>
    <x v="0"/>
    <n v="0"/>
    <n v="3"/>
    <n v="11"/>
    <x v="1"/>
  </r>
  <r>
    <n v="9209"/>
    <n v="1971"/>
    <x v="2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x v="0"/>
    <x v="0"/>
    <x v="0"/>
    <x v="0"/>
    <x v="0"/>
    <n v="0"/>
    <n v="3"/>
    <n v="11"/>
    <x v="1"/>
  </r>
  <r>
    <n v="10286"/>
    <n v="1962"/>
    <x v="0"/>
    <s v="Married"/>
    <n v="83715"/>
    <n v="0"/>
    <n v="0"/>
    <d v="2014-02-03T00:00:00"/>
    <n v="2"/>
    <n v="318"/>
    <n v="8"/>
    <n v="407"/>
    <n v="150"/>
    <n v="35"/>
    <n v="8"/>
    <n v="1"/>
    <n v="2"/>
    <n v="8"/>
    <n v="13"/>
    <n v="0"/>
    <x v="0"/>
    <x v="0"/>
    <x v="0"/>
    <x v="0"/>
    <x v="0"/>
    <n v="0"/>
    <n v="3"/>
    <n v="11"/>
    <x v="1"/>
  </r>
  <r>
    <n v="2611"/>
    <n v="1959"/>
    <x v="2"/>
    <s v="Together"/>
    <n v="82576"/>
    <n v="0"/>
    <n v="0"/>
    <d v="2012-08-01T00:00:00"/>
    <n v="66"/>
    <n v="1206"/>
    <n v="55"/>
    <n v="445"/>
    <n v="168"/>
    <n v="18"/>
    <n v="18"/>
    <n v="1"/>
    <n v="2"/>
    <n v="4"/>
    <n v="12"/>
    <n v="1"/>
    <x v="0"/>
    <x v="0"/>
    <x v="1"/>
    <x v="0"/>
    <x v="0"/>
    <n v="0"/>
    <n v="3"/>
    <n v="11"/>
    <x v="1"/>
  </r>
  <r>
    <n v="1600"/>
    <n v="1965"/>
    <x v="2"/>
    <s v="Married"/>
    <n v="56962"/>
    <n v="2"/>
    <n v="1"/>
    <d v="2013-10-11T00:00:00"/>
    <n v="60"/>
    <n v="292"/>
    <n v="3"/>
    <n v="77"/>
    <n v="10"/>
    <n v="3"/>
    <n v="26"/>
    <n v="7"/>
    <n v="6"/>
    <n v="3"/>
    <n v="5"/>
    <n v="7"/>
    <x v="0"/>
    <x v="0"/>
    <x v="0"/>
    <x v="0"/>
    <x v="0"/>
    <n v="0"/>
    <n v="3"/>
    <n v="11"/>
    <x v="1"/>
  </r>
  <r>
    <n v="3308"/>
    <n v="1952"/>
    <x v="0"/>
    <s v="Married"/>
    <n v="35704"/>
    <n v="1"/>
    <n v="1"/>
    <d v="2014-01-03T00:00:00"/>
    <n v="54"/>
    <n v="30"/>
    <n v="9"/>
    <n v="12"/>
    <n v="2"/>
    <n v="11"/>
    <n v="30"/>
    <n v="3"/>
    <n v="2"/>
    <n v="0"/>
    <n v="4"/>
    <n v="4"/>
    <x v="0"/>
    <x v="0"/>
    <x v="0"/>
    <x v="0"/>
    <x v="0"/>
    <n v="0"/>
    <n v="3"/>
    <n v="11"/>
    <x v="1"/>
  </r>
  <r>
    <n v="5407"/>
    <n v="1954"/>
    <x v="0"/>
    <s v="Together"/>
    <n v="53103"/>
    <n v="0"/>
    <n v="1"/>
    <d v="2013-09-12T00:00:00"/>
    <n v="70"/>
    <n v="729"/>
    <n v="17"/>
    <n v="133"/>
    <n v="11"/>
    <n v="0"/>
    <n v="195"/>
    <n v="5"/>
    <n v="10"/>
    <n v="6"/>
    <n v="7"/>
    <n v="7"/>
    <x v="1"/>
    <x v="0"/>
    <x v="0"/>
    <x v="0"/>
    <x v="0"/>
    <n v="0"/>
    <n v="3"/>
    <n v="11"/>
    <x v="1"/>
  </r>
  <r>
    <n v="2166"/>
    <n v="1960"/>
    <x v="4"/>
    <s v="Widow"/>
    <n v="46779"/>
    <n v="1"/>
    <n v="1"/>
    <d v="2013-07-12T00:00:00"/>
    <n v="55"/>
    <n v="12"/>
    <n v="1"/>
    <n v="3"/>
    <n v="0"/>
    <n v="0"/>
    <n v="7"/>
    <n v="1"/>
    <n v="0"/>
    <n v="1"/>
    <n v="2"/>
    <n v="4"/>
    <x v="0"/>
    <x v="0"/>
    <x v="0"/>
    <x v="0"/>
    <x v="0"/>
    <n v="0"/>
    <n v="3"/>
    <n v="11"/>
    <x v="1"/>
  </r>
  <r>
    <n v="3955"/>
    <n v="1965"/>
    <x v="0"/>
    <s v="Divorced"/>
    <n v="4861"/>
    <n v="0"/>
    <n v="0"/>
    <d v="2014-06-22T00:00:00"/>
    <n v="20"/>
    <n v="2"/>
    <n v="1"/>
    <n v="1"/>
    <n v="1"/>
    <n v="0"/>
    <n v="1"/>
    <n v="0"/>
    <n v="0"/>
    <n v="0"/>
    <n v="0"/>
    <n v="14"/>
    <x v="0"/>
    <x v="0"/>
    <x v="0"/>
    <x v="0"/>
    <x v="0"/>
    <n v="0"/>
    <n v="3"/>
    <n v="11"/>
    <x v="1"/>
  </r>
  <r>
    <n v="6634"/>
    <n v="1979"/>
    <x v="2"/>
    <s v="Divorced"/>
    <n v="33462"/>
    <n v="1"/>
    <n v="0"/>
    <d v="2013-08-07T00:00:00"/>
    <n v="78"/>
    <n v="22"/>
    <n v="3"/>
    <n v="18"/>
    <n v="0"/>
    <n v="0"/>
    <n v="11"/>
    <n v="1"/>
    <n v="2"/>
    <n v="0"/>
    <n v="3"/>
    <n v="7"/>
    <x v="0"/>
    <x v="0"/>
    <x v="0"/>
    <x v="0"/>
    <x v="0"/>
    <n v="0"/>
    <n v="3"/>
    <n v="11"/>
    <x v="1"/>
  </r>
  <r>
    <n v="3056"/>
    <n v="1978"/>
    <x v="0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x v="0"/>
    <x v="0"/>
    <x v="0"/>
    <x v="0"/>
    <x v="0"/>
    <n v="0"/>
    <n v="3"/>
    <n v="11"/>
    <x v="1"/>
  </r>
  <r>
    <n v="5718"/>
    <n v="1950"/>
    <x v="0"/>
    <s v="Married"/>
    <n v="80763"/>
    <n v="0"/>
    <n v="0"/>
    <d v="2013-08-15T00:00:00"/>
    <n v="17"/>
    <n v="674"/>
    <n v="168"/>
    <n v="108"/>
    <n v="192"/>
    <n v="42"/>
    <n v="231"/>
    <n v="1"/>
    <n v="5"/>
    <n v="11"/>
    <n v="6"/>
    <n v="3"/>
    <x v="0"/>
    <x v="0"/>
    <x v="1"/>
    <x v="1"/>
    <x v="0"/>
    <n v="0"/>
    <n v="3"/>
    <n v="11"/>
    <x v="0"/>
  </r>
  <r>
    <n v="6872"/>
    <n v="1974"/>
    <x v="1"/>
    <s v="Married"/>
    <n v="65352"/>
    <n v="0"/>
    <n v="1"/>
    <d v="2013-08-21T00:00:00"/>
    <n v="43"/>
    <n v="284"/>
    <n v="3"/>
    <n v="84"/>
    <n v="4"/>
    <n v="7"/>
    <n v="23"/>
    <n v="2"/>
    <n v="4"/>
    <n v="2"/>
    <n v="8"/>
    <n v="4"/>
    <x v="0"/>
    <x v="0"/>
    <x v="0"/>
    <x v="0"/>
    <x v="0"/>
    <n v="0"/>
    <n v="3"/>
    <n v="11"/>
    <x v="1"/>
  </r>
  <r>
    <n v="8164"/>
    <n v="1978"/>
    <x v="1"/>
    <s v="Married"/>
    <n v="82170"/>
    <n v="0"/>
    <n v="0"/>
    <d v="2013-11-25T00:00:00"/>
    <n v="13"/>
    <n v="1023"/>
    <n v="93"/>
    <n v="651"/>
    <n v="49"/>
    <n v="55"/>
    <n v="37"/>
    <n v="1"/>
    <n v="5"/>
    <n v="6"/>
    <n v="7"/>
    <n v="2"/>
    <x v="0"/>
    <x v="0"/>
    <x v="0"/>
    <x v="0"/>
    <x v="0"/>
    <n v="0"/>
    <n v="3"/>
    <n v="11"/>
    <x v="1"/>
  </r>
  <r>
    <n v="4580"/>
    <n v="1969"/>
    <x v="0"/>
    <s v="Married"/>
    <n v="75759"/>
    <n v="0"/>
    <n v="0"/>
    <d v="2013-10-25T00:00:00"/>
    <n v="46"/>
    <n v="1394"/>
    <n v="22"/>
    <n v="708"/>
    <n v="89"/>
    <n v="91"/>
    <n v="182"/>
    <n v="1"/>
    <n v="9"/>
    <n v="7"/>
    <n v="9"/>
    <n v="5"/>
    <x v="1"/>
    <x v="0"/>
    <x v="1"/>
    <x v="1"/>
    <x v="0"/>
    <n v="0"/>
    <n v="3"/>
    <n v="11"/>
    <x v="0"/>
  </r>
  <r>
    <n v="9305"/>
    <n v="1976"/>
    <x v="4"/>
    <s v="Single"/>
    <n v="79689"/>
    <n v="0"/>
    <n v="0"/>
    <d v="2013-05-12T00:00:00"/>
    <n v="65"/>
    <n v="311"/>
    <n v="26"/>
    <n v="640"/>
    <n v="180"/>
    <n v="37"/>
    <n v="121"/>
    <n v="1"/>
    <n v="4"/>
    <n v="9"/>
    <n v="13"/>
    <n v="2"/>
    <x v="0"/>
    <x v="0"/>
    <x v="0"/>
    <x v="0"/>
    <x v="0"/>
    <n v="0"/>
    <n v="3"/>
    <n v="11"/>
    <x v="1"/>
  </r>
  <r>
    <n v="453"/>
    <n v="1956"/>
    <x v="1"/>
    <s v="Widow"/>
    <n v="35340"/>
    <n v="1"/>
    <n v="1"/>
    <d v="2014-06-29T00:00:00"/>
    <n v="1"/>
    <n v="27"/>
    <n v="0"/>
    <n v="12"/>
    <n v="0"/>
    <n v="1"/>
    <n v="5"/>
    <n v="2"/>
    <n v="2"/>
    <n v="0"/>
    <n v="3"/>
    <n v="5"/>
    <x v="0"/>
    <x v="0"/>
    <x v="0"/>
    <x v="0"/>
    <x v="0"/>
    <n v="0"/>
    <n v="3"/>
    <n v="11"/>
    <x v="1"/>
  </r>
  <r>
    <n v="8545"/>
    <n v="1954"/>
    <x v="0"/>
    <s v="Divorced"/>
    <n v="85683"/>
    <n v="0"/>
    <n v="0"/>
    <d v="2014-03-21T00:00:00"/>
    <n v="6"/>
    <n v="1296"/>
    <n v="17"/>
    <n v="311"/>
    <n v="45"/>
    <n v="69"/>
    <n v="51"/>
    <n v="1"/>
    <n v="2"/>
    <n v="4"/>
    <n v="10"/>
    <n v="1"/>
    <x v="0"/>
    <x v="1"/>
    <x v="1"/>
    <x v="1"/>
    <x v="1"/>
    <n v="0"/>
    <n v="3"/>
    <n v="11"/>
    <x v="0"/>
  </r>
  <r>
    <n v="9850"/>
    <n v="1972"/>
    <x v="4"/>
    <s v="Married"/>
    <n v="24884"/>
    <n v="1"/>
    <n v="0"/>
    <d v="2012-11-29T00:00:00"/>
    <n v="32"/>
    <n v="3"/>
    <n v="6"/>
    <n v="7"/>
    <n v="0"/>
    <n v="0"/>
    <n v="3"/>
    <n v="1"/>
    <n v="0"/>
    <n v="0"/>
    <n v="3"/>
    <n v="7"/>
    <x v="0"/>
    <x v="0"/>
    <x v="0"/>
    <x v="0"/>
    <x v="0"/>
    <n v="0"/>
    <n v="3"/>
    <n v="11"/>
    <x v="1"/>
  </r>
  <r>
    <n v="7378"/>
    <n v="1981"/>
    <x v="2"/>
    <s v="Together"/>
    <n v="42021"/>
    <n v="1"/>
    <n v="0"/>
    <d v="2012-08-31T00:00:00"/>
    <n v="34"/>
    <n v="393"/>
    <n v="5"/>
    <n v="136"/>
    <n v="7"/>
    <n v="5"/>
    <n v="27"/>
    <n v="5"/>
    <n v="10"/>
    <n v="1"/>
    <n v="6"/>
    <n v="9"/>
    <x v="1"/>
    <x v="0"/>
    <x v="0"/>
    <x v="0"/>
    <x v="0"/>
    <n v="0"/>
    <n v="3"/>
    <n v="11"/>
    <x v="1"/>
  </r>
  <r>
    <n v="7646"/>
    <n v="1989"/>
    <x v="0"/>
    <s v="Single"/>
    <n v="64449"/>
    <n v="1"/>
    <n v="0"/>
    <d v="2014-02-18T00:00:00"/>
    <n v="70"/>
    <n v="218"/>
    <n v="63"/>
    <n v="282"/>
    <n v="137"/>
    <n v="35"/>
    <n v="70"/>
    <n v="4"/>
    <n v="5"/>
    <n v="3"/>
    <n v="12"/>
    <n v="4"/>
    <x v="0"/>
    <x v="0"/>
    <x v="0"/>
    <x v="0"/>
    <x v="0"/>
    <n v="0"/>
    <n v="3"/>
    <n v="11"/>
    <x v="1"/>
  </r>
  <r>
    <n v="1640"/>
    <n v="1954"/>
    <x v="0"/>
    <s v="Divorced"/>
    <n v="64587"/>
    <n v="1"/>
    <n v="1"/>
    <d v="2014-06-22T00:00:00"/>
    <n v="49"/>
    <n v="66"/>
    <n v="0"/>
    <n v="16"/>
    <n v="0"/>
    <n v="6"/>
    <n v="20"/>
    <n v="2"/>
    <n v="1"/>
    <n v="1"/>
    <n v="4"/>
    <n v="3"/>
    <x v="0"/>
    <x v="0"/>
    <x v="0"/>
    <x v="0"/>
    <x v="0"/>
    <n v="0"/>
    <n v="3"/>
    <n v="11"/>
    <x v="1"/>
  </r>
  <r>
    <n v="5184"/>
    <n v="1995"/>
    <x v="0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x v="0"/>
    <x v="0"/>
    <x v="0"/>
    <x v="0"/>
    <x v="0"/>
    <n v="0"/>
    <n v="3"/>
    <n v="11"/>
    <x v="1"/>
  </r>
  <r>
    <n v="8492"/>
    <n v="1978"/>
    <x v="0"/>
    <s v="Together"/>
    <n v="75437"/>
    <n v="0"/>
    <n v="0"/>
    <d v="2013-11-09T00:00:00"/>
    <n v="25"/>
    <n v="795"/>
    <n v="0"/>
    <n v="545"/>
    <n v="95"/>
    <n v="58"/>
    <n v="0"/>
    <n v="1"/>
    <n v="8"/>
    <n v="4"/>
    <n v="10"/>
    <n v="6"/>
    <x v="0"/>
    <x v="0"/>
    <x v="0"/>
    <x v="1"/>
    <x v="0"/>
    <n v="0"/>
    <n v="3"/>
    <n v="11"/>
    <x v="1"/>
  </r>
  <r>
    <n v="11188"/>
    <n v="1957"/>
    <x v="0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x v="0"/>
    <x v="0"/>
    <x v="0"/>
    <x v="0"/>
    <x v="0"/>
    <n v="0"/>
    <n v="3"/>
    <n v="11"/>
    <x v="1"/>
  </r>
  <r>
    <n v="1212"/>
    <n v="1973"/>
    <x v="0"/>
    <s v="Married"/>
    <n v="52845"/>
    <n v="1"/>
    <n v="0"/>
    <d v="2013-08-13T00:00:00"/>
    <n v="7"/>
    <n v="384"/>
    <n v="25"/>
    <n v="292"/>
    <n v="130"/>
    <n v="41"/>
    <n v="64"/>
    <n v="3"/>
    <n v="8"/>
    <n v="8"/>
    <n v="6"/>
    <n v="6"/>
    <x v="1"/>
    <x v="0"/>
    <x v="0"/>
    <x v="0"/>
    <x v="0"/>
    <n v="0"/>
    <n v="3"/>
    <n v="11"/>
    <x v="1"/>
  </r>
  <r>
    <n v="9097"/>
    <n v="1956"/>
    <x v="0"/>
    <s v="Divorced"/>
    <n v="46086"/>
    <n v="0"/>
    <n v="1"/>
    <d v="2013-11-03T00:00:00"/>
    <n v="34"/>
    <n v="244"/>
    <n v="8"/>
    <n v="32"/>
    <n v="7"/>
    <n v="2"/>
    <n v="50"/>
    <n v="4"/>
    <n v="3"/>
    <n v="1"/>
    <n v="8"/>
    <n v="4"/>
    <x v="0"/>
    <x v="0"/>
    <x v="0"/>
    <x v="0"/>
    <x v="0"/>
    <n v="0"/>
    <n v="3"/>
    <n v="11"/>
    <x v="1"/>
  </r>
  <r>
    <n v="10473"/>
    <n v="1956"/>
    <x v="1"/>
    <s v="Widow"/>
    <n v="78028"/>
    <n v="0"/>
    <n v="1"/>
    <d v="2012-09-10T00:00:00"/>
    <n v="38"/>
    <n v="158"/>
    <n v="19"/>
    <n v="288"/>
    <n v="25"/>
    <n v="0"/>
    <n v="38"/>
    <n v="1"/>
    <n v="6"/>
    <n v="4"/>
    <n v="9"/>
    <n v="7"/>
    <x v="0"/>
    <x v="1"/>
    <x v="1"/>
    <x v="0"/>
    <x v="0"/>
    <n v="0"/>
    <n v="3"/>
    <n v="11"/>
    <x v="0"/>
  </r>
  <r>
    <n v="7962"/>
    <n v="1987"/>
    <x v="1"/>
    <s v="Single"/>
    <n v="95169"/>
    <n v="0"/>
    <n v="0"/>
    <d v="2013-10-09T00:00:00"/>
    <n v="1"/>
    <n v="1285"/>
    <n v="21"/>
    <n v="449"/>
    <n v="106"/>
    <n v="20"/>
    <n v="20"/>
    <n v="1"/>
    <n v="4"/>
    <n v="3"/>
    <n v="4"/>
    <n v="1"/>
    <x v="0"/>
    <x v="0"/>
    <x v="1"/>
    <x v="1"/>
    <x v="0"/>
    <n v="0"/>
    <n v="3"/>
    <n v="11"/>
    <x v="0"/>
  </r>
  <r>
    <n v="9984"/>
    <n v="1981"/>
    <x v="4"/>
    <s v="Married"/>
    <n v="56337"/>
    <n v="1"/>
    <n v="1"/>
    <d v="2013-03-27T00:00:00"/>
    <n v="25"/>
    <n v="349"/>
    <n v="16"/>
    <n v="144"/>
    <n v="28"/>
    <n v="5"/>
    <n v="182"/>
    <n v="5"/>
    <n v="8"/>
    <n v="5"/>
    <n v="4"/>
    <n v="8"/>
    <x v="1"/>
    <x v="0"/>
    <x v="0"/>
    <x v="1"/>
    <x v="0"/>
    <n v="0"/>
    <n v="3"/>
    <n v="11"/>
    <x v="0"/>
  </r>
  <r>
    <n v="5527"/>
    <n v="1987"/>
    <x v="0"/>
    <s v="Together"/>
    <n v="22434"/>
    <n v="1"/>
    <n v="0"/>
    <d v="2013-02-13T00:00:00"/>
    <n v="25"/>
    <n v="4"/>
    <n v="12"/>
    <n v="11"/>
    <n v="3"/>
    <n v="13"/>
    <n v="15"/>
    <n v="2"/>
    <n v="2"/>
    <n v="0"/>
    <n v="3"/>
    <n v="8"/>
    <x v="0"/>
    <x v="0"/>
    <x v="0"/>
    <x v="0"/>
    <x v="0"/>
    <n v="0"/>
    <n v="3"/>
    <n v="11"/>
    <x v="1"/>
  </r>
  <r>
    <n v="6374"/>
    <n v="1954"/>
    <x v="1"/>
    <s v="Married"/>
    <n v="36930"/>
    <n v="0"/>
    <n v="1"/>
    <d v="2013-05-17T00:00:00"/>
    <n v="50"/>
    <n v="223"/>
    <n v="2"/>
    <n v="31"/>
    <n v="0"/>
    <n v="2"/>
    <n v="39"/>
    <n v="5"/>
    <n v="5"/>
    <n v="2"/>
    <n v="4"/>
    <n v="8"/>
    <x v="0"/>
    <x v="0"/>
    <x v="0"/>
    <x v="0"/>
    <x v="0"/>
    <n v="0"/>
    <n v="3"/>
    <n v="11"/>
    <x v="1"/>
  </r>
  <r>
    <n v="7453"/>
    <n v="1954"/>
    <x v="0"/>
    <s v="Single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x v="1"/>
    <x v="0"/>
    <x v="0"/>
    <x v="0"/>
    <x v="0"/>
    <n v="0"/>
    <n v="3"/>
    <n v="11"/>
    <x v="0"/>
  </r>
  <r>
    <n v="8952"/>
    <n v="1953"/>
    <x v="2"/>
    <s v="Married"/>
    <n v="65569"/>
    <n v="0"/>
    <n v="1"/>
    <d v="2012-11-05T00:00:00"/>
    <n v="96"/>
    <n v="397"/>
    <n v="46"/>
    <n v="288"/>
    <n v="20"/>
    <n v="38"/>
    <n v="70"/>
    <n v="2"/>
    <n v="6"/>
    <n v="5"/>
    <n v="10"/>
    <n v="3"/>
    <x v="0"/>
    <x v="0"/>
    <x v="0"/>
    <x v="0"/>
    <x v="0"/>
    <n v="0"/>
    <n v="3"/>
    <n v="11"/>
    <x v="1"/>
  </r>
  <r>
    <n v="241"/>
    <n v="1952"/>
    <x v="0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x v="0"/>
    <x v="0"/>
    <x v="1"/>
    <x v="0"/>
    <x v="0"/>
    <n v="0"/>
    <n v="3"/>
    <n v="11"/>
    <x v="1"/>
  </r>
  <r>
    <n v="8975"/>
    <n v="1968"/>
    <x v="0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x v="1"/>
    <x v="0"/>
    <x v="0"/>
    <x v="0"/>
    <x v="0"/>
    <n v="0"/>
    <n v="3"/>
    <n v="11"/>
    <x v="1"/>
  </r>
  <r>
    <n v="6119"/>
    <n v="1963"/>
    <x v="1"/>
    <s v="Single"/>
    <n v="36736"/>
    <n v="1"/>
    <n v="1"/>
    <d v="2013-05-10T00:00:00"/>
    <n v="52"/>
    <n v="10"/>
    <n v="0"/>
    <n v="3"/>
    <n v="0"/>
    <n v="0"/>
    <n v="4"/>
    <n v="1"/>
    <n v="1"/>
    <n v="0"/>
    <n v="2"/>
    <n v="6"/>
    <x v="0"/>
    <x v="0"/>
    <x v="0"/>
    <x v="0"/>
    <x v="0"/>
    <n v="0"/>
    <n v="3"/>
    <n v="11"/>
    <x v="1"/>
  </r>
  <r>
    <n v="5236"/>
    <n v="1979"/>
    <x v="0"/>
    <s v="Together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x v="0"/>
    <x v="1"/>
    <x v="1"/>
    <x v="1"/>
    <x v="0"/>
    <n v="0"/>
    <n v="3"/>
    <n v="11"/>
    <x v="1"/>
  </r>
  <r>
    <n v="5723"/>
    <n v="1976"/>
    <x v="1"/>
    <s v="Together"/>
    <n v="49187"/>
    <n v="0"/>
    <n v="1"/>
    <d v="2014-01-11T00:00:00"/>
    <n v="63"/>
    <n v="81"/>
    <n v="1"/>
    <n v="31"/>
    <n v="2"/>
    <n v="1"/>
    <n v="0"/>
    <n v="1"/>
    <n v="1"/>
    <n v="1"/>
    <n v="5"/>
    <n v="2"/>
    <x v="0"/>
    <x v="0"/>
    <x v="0"/>
    <x v="0"/>
    <x v="0"/>
    <n v="0"/>
    <n v="3"/>
    <n v="11"/>
    <x v="1"/>
  </r>
  <r>
    <n v="1710"/>
    <n v="1978"/>
    <x v="0"/>
    <s v="Single"/>
    <n v="30168"/>
    <n v="1"/>
    <n v="0"/>
    <d v="2013-03-07T00:00:00"/>
    <n v="51"/>
    <n v="154"/>
    <n v="20"/>
    <n v="66"/>
    <n v="0"/>
    <n v="12"/>
    <n v="27"/>
    <n v="7"/>
    <n v="6"/>
    <n v="1"/>
    <n v="4"/>
    <n v="9"/>
    <x v="0"/>
    <x v="0"/>
    <x v="0"/>
    <x v="0"/>
    <x v="0"/>
    <n v="0"/>
    <n v="3"/>
    <n v="11"/>
    <x v="1"/>
  </r>
  <r>
    <n v="1970"/>
    <n v="1968"/>
    <x v="2"/>
    <s v="Together"/>
    <n v="34053"/>
    <n v="0"/>
    <n v="1"/>
    <d v="2012-09-10T00:00:00"/>
    <n v="14"/>
    <n v="63"/>
    <n v="0"/>
    <n v="21"/>
    <n v="7"/>
    <n v="0"/>
    <n v="12"/>
    <n v="1"/>
    <n v="3"/>
    <n v="0"/>
    <n v="3"/>
    <n v="8"/>
    <x v="0"/>
    <x v="0"/>
    <x v="0"/>
    <x v="0"/>
    <x v="0"/>
    <n v="0"/>
    <n v="3"/>
    <n v="11"/>
    <x v="1"/>
  </r>
  <r>
    <n v="5313"/>
    <n v="1971"/>
    <x v="2"/>
    <s v="Married"/>
    <n v="38196"/>
    <n v="1"/>
    <n v="1"/>
    <d v="2014-04-18T00:00:00"/>
    <n v="20"/>
    <n v="30"/>
    <n v="0"/>
    <n v="11"/>
    <n v="0"/>
    <n v="0"/>
    <n v="3"/>
    <n v="3"/>
    <n v="2"/>
    <n v="0"/>
    <n v="4"/>
    <n v="5"/>
    <x v="0"/>
    <x v="0"/>
    <x v="0"/>
    <x v="0"/>
    <x v="0"/>
    <n v="0"/>
    <n v="3"/>
    <n v="11"/>
    <x v="1"/>
  </r>
  <r>
    <n v="10634"/>
    <n v="1951"/>
    <x v="2"/>
    <s v="Married"/>
    <n v="59412"/>
    <n v="0"/>
    <n v="0"/>
    <d v="2014-04-19T00:00:00"/>
    <n v="56"/>
    <n v="90"/>
    <n v="67"/>
    <n v="165"/>
    <n v="30"/>
    <n v="43"/>
    <n v="11"/>
    <n v="1"/>
    <n v="4"/>
    <n v="2"/>
    <n v="8"/>
    <n v="3"/>
    <x v="0"/>
    <x v="0"/>
    <x v="0"/>
    <x v="0"/>
    <x v="0"/>
    <n v="0"/>
    <n v="3"/>
    <n v="11"/>
    <x v="1"/>
  </r>
  <r>
    <n v="7010"/>
    <n v="1965"/>
    <x v="4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x v="0"/>
    <x v="0"/>
    <x v="1"/>
    <x v="0"/>
    <x v="0"/>
    <n v="0"/>
    <n v="3"/>
    <n v="11"/>
    <x v="1"/>
  </r>
  <r>
    <n v="8562"/>
    <n v="1969"/>
    <x v="0"/>
    <s v="Together"/>
    <n v="54165"/>
    <n v="0"/>
    <n v="0"/>
    <d v="2013-05-28T00:00:00"/>
    <n v="72"/>
    <n v="127"/>
    <n v="4"/>
    <n v="73"/>
    <n v="15"/>
    <n v="6"/>
    <n v="11"/>
    <n v="1"/>
    <n v="2"/>
    <n v="1"/>
    <n v="7"/>
    <n v="2"/>
    <x v="0"/>
    <x v="0"/>
    <x v="0"/>
    <x v="0"/>
    <x v="0"/>
    <n v="0"/>
    <n v="3"/>
    <n v="11"/>
    <x v="1"/>
  </r>
  <r>
    <n v="3158"/>
    <n v="1973"/>
    <x v="0"/>
    <s v="Married"/>
    <n v="32300"/>
    <n v="1"/>
    <n v="0"/>
    <d v="2013-01-03T00:00:00"/>
    <n v="1"/>
    <n v="13"/>
    <n v="3"/>
    <n v="6"/>
    <n v="6"/>
    <n v="5"/>
    <n v="6"/>
    <n v="1"/>
    <n v="1"/>
    <n v="0"/>
    <n v="3"/>
    <n v="8"/>
    <x v="0"/>
    <x v="0"/>
    <x v="0"/>
    <x v="0"/>
    <x v="0"/>
    <n v="0"/>
    <n v="3"/>
    <n v="11"/>
    <x v="1"/>
  </r>
  <r>
    <n v="4436"/>
    <n v="1976"/>
    <x v="0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x v="0"/>
    <x v="0"/>
    <x v="0"/>
    <x v="0"/>
    <x v="0"/>
    <n v="0"/>
    <n v="3"/>
    <n v="11"/>
    <x v="1"/>
  </r>
  <r>
    <n v="5287"/>
    <n v="1973"/>
    <x v="0"/>
    <s v="Married"/>
    <n v="34961"/>
    <n v="1"/>
    <n v="0"/>
    <d v="2014-06-19T00:00:00"/>
    <n v="77"/>
    <n v="45"/>
    <n v="2"/>
    <n v="26"/>
    <n v="4"/>
    <n v="1"/>
    <n v="1"/>
    <n v="3"/>
    <n v="3"/>
    <n v="1"/>
    <n v="3"/>
    <n v="7"/>
    <x v="0"/>
    <x v="0"/>
    <x v="0"/>
    <x v="0"/>
    <x v="0"/>
    <n v="0"/>
    <n v="3"/>
    <n v="11"/>
    <x v="1"/>
  </r>
  <r>
    <n v="2445"/>
    <n v="1974"/>
    <x v="1"/>
    <s v="Together"/>
    <n v="28440"/>
    <n v="1"/>
    <n v="0"/>
    <d v="2013-07-07T00:00:00"/>
    <n v="87"/>
    <n v="38"/>
    <n v="1"/>
    <n v="24"/>
    <n v="0"/>
    <n v="0"/>
    <n v="0"/>
    <n v="1"/>
    <n v="2"/>
    <n v="0"/>
    <n v="3"/>
    <n v="8"/>
    <x v="0"/>
    <x v="0"/>
    <x v="0"/>
    <x v="0"/>
    <x v="0"/>
    <n v="0"/>
    <n v="3"/>
    <n v="11"/>
    <x v="1"/>
  </r>
  <r>
    <n v="6059"/>
    <n v="1953"/>
    <x v="1"/>
    <s v="Together"/>
    <n v="64504"/>
    <n v="1"/>
    <n v="2"/>
    <d v="2013-03-04T00:00:00"/>
    <n v="81"/>
    <n v="986"/>
    <n v="36"/>
    <n v="168"/>
    <n v="16"/>
    <n v="0"/>
    <n v="108"/>
    <n v="7"/>
    <n v="11"/>
    <n v="3"/>
    <n v="4"/>
    <n v="7"/>
    <x v="0"/>
    <x v="0"/>
    <x v="0"/>
    <x v="0"/>
    <x v="0"/>
    <n v="0"/>
    <n v="3"/>
    <n v="11"/>
    <x v="0"/>
  </r>
  <r>
    <n v="4550"/>
    <n v="1966"/>
    <x v="2"/>
    <s v="Together"/>
    <n v="33564"/>
    <n v="0"/>
    <n v="1"/>
    <d v="2014-06-24T00:00:00"/>
    <n v="51"/>
    <n v="61"/>
    <n v="0"/>
    <n v="3"/>
    <n v="0"/>
    <n v="0"/>
    <n v="7"/>
    <n v="1"/>
    <n v="1"/>
    <n v="1"/>
    <n v="3"/>
    <n v="5"/>
    <x v="0"/>
    <x v="0"/>
    <x v="0"/>
    <x v="0"/>
    <x v="0"/>
    <n v="0"/>
    <n v="3"/>
    <n v="11"/>
    <x v="1"/>
  </r>
  <r>
    <n v="4240"/>
    <n v="1978"/>
    <x v="0"/>
    <s v="Married"/>
    <n v="17345"/>
    <n v="1"/>
    <n v="0"/>
    <d v="2012-11-03T00:00:00"/>
    <n v="79"/>
    <n v="4"/>
    <n v="9"/>
    <n v="16"/>
    <n v="17"/>
    <n v="0"/>
    <n v="12"/>
    <n v="2"/>
    <n v="2"/>
    <n v="1"/>
    <n v="2"/>
    <n v="8"/>
    <x v="0"/>
    <x v="0"/>
    <x v="0"/>
    <x v="0"/>
    <x v="0"/>
    <n v="0"/>
    <n v="3"/>
    <n v="11"/>
    <x v="1"/>
  </r>
  <r>
    <n v="8911"/>
    <n v="1967"/>
    <x v="1"/>
    <s v="Married"/>
    <n v="56320"/>
    <n v="0"/>
    <n v="1"/>
    <d v="2013-04-08T00:00:00"/>
    <n v="11"/>
    <n v="201"/>
    <n v="53"/>
    <n v="172"/>
    <n v="116"/>
    <n v="77"/>
    <n v="83"/>
    <n v="3"/>
    <n v="5"/>
    <n v="4"/>
    <n v="9"/>
    <n v="4"/>
    <x v="0"/>
    <x v="0"/>
    <x v="0"/>
    <x v="0"/>
    <x v="0"/>
    <n v="0"/>
    <n v="3"/>
    <n v="11"/>
    <x v="1"/>
  </r>
  <r>
    <n v="3706"/>
    <n v="1978"/>
    <x v="0"/>
    <s v="Single"/>
    <n v="28647"/>
    <n v="1"/>
    <n v="0"/>
    <d v="2013-08-21T00:00:00"/>
    <n v="54"/>
    <n v="19"/>
    <n v="8"/>
    <n v="29"/>
    <n v="0"/>
    <n v="12"/>
    <n v="26"/>
    <n v="1"/>
    <n v="2"/>
    <n v="2"/>
    <n v="2"/>
    <n v="7"/>
    <x v="1"/>
    <x v="0"/>
    <x v="0"/>
    <x v="0"/>
    <x v="0"/>
    <n v="0"/>
    <n v="3"/>
    <n v="11"/>
    <x v="0"/>
  </r>
  <r>
    <n v="3628"/>
    <n v="1987"/>
    <x v="3"/>
    <s v="Single"/>
    <n v="15038"/>
    <n v="1"/>
    <n v="0"/>
    <d v="2013-01-29T00:00:00"/>
    <n v="93"/>
    <n v="4"/>
    <n v="8"/>
    <n v="11"/>
    <n v="19"/>
    <n v="12"/>
    <n v="26"/>
    <n v="2"/>
    <n v="2"/>
    <n v="1"/>
    <n v="2"/>
    <n v="9"/>
    <x v="0"/>
    <x v="0"/>
    <x v="0"/>
    <x v="0"/>
    <x v="0"/>
    <n v="0"/>
    <n v="3"/>
    <n v="11"/>
    <x v="1"/>
  </r>
  <r>
    <n v="10175"/>
    <n v="1958"/>
    <x v="1"/>
    <s v="Divorced"/>
    <n v="32173"/>
    <n v="0"/>
    <n v="1"/>
    <d v="2013-08-01T00:00:00"/>
    <n v="0"/>
    <n v="18"/>
    <n v="0"/>
    <n v="2"/>
    <n v="0"/>
    <n v="0"/>
    <n v="2"/>
    <n v="1"/>
    <n v="1"/>
    <n v="0"/>
    <n v="3"/>
    <n v="4"/>
    <x v="0"/>
    <x v="0"/>
    <x v="0"/>
    <x v="0"/>
    <x v="0"/>
    <n v="0"/>
    <n v="3"/>
    <n v="11"/>
    <x v="1"/>
  </r>
  <r>
    <n v="8985"/>
    <n v="1964"/>
    <x v="4"/>
    <s v="Together"/>
    <n v="68316"/>
    <n v="0"/>
    <n v="1"/>
    <d v="2012-11-04T00:00:00"/>
    <n v="54"/>
    <n v="806"/>
    <n v="80"/>
    <n v="161"/>
    <n v="120"/>
    <n v="11"/>
    <n v="33"/>
    <n v="5"/>
    <n v="10"/>
    <n v="7"/>
    <n v="10"/>
    <n v="6"/>
    <x v="0"/>
    <x v="0"/>
    <x v="0"/>
    <x v="0"/>
    <x v="0"/>
    <n v="0"/>
    <n v="3"/>
    <n v="11"/>
    <x v="1"/>
  </r>
  <r>
    <n v="5204"/>
    <n v="1971"/>
    <x v="0"/>
    <s v="Together"/>
    <n v="74538"/>
    <n v="0"/>
    <n v="0"/>
    <d v="2013-06-29T00:00:00"/>
    <n v="21"/>
    <n v="380"/>
    <n v="98"/>
    <n v="733"/>
    <n v="110"/>
    <n v="112"/>
    <n v="28"/>
    <n v="1"/>
    <n v="8"/>
    <n v="8"/>
    <n v="5"/>
    <n v="3"/>
    <x v="0"/>
    <x v="0"/>
    <x v="1"/>
    <x v="0"/>
    <x v="0"/>
    <n v="0"/>
    <n v="3"/>
    <n v="11"/>
    <x v="0"/>
  </r>
  <r>
    <n v="9220"/>
    <n v="1971"/>
    <x v="0"/>
    <s v="Single"/>
    <n v="91700"/>
    <n v="0"/>
    <n v="0"/>
    <d v="2013-01-17T00:00:00"/>
    <n v="58"/>
    <n v="576"/>
    <n v="172"/>
    <n v="961"/>
    <n v="125"/>
    <n v="115"/>
    <n v="19"/>
    <n v="1"/>
    <n v="8"/>
    <n v="6"/>
    <n v="5"/>
    <n v="3"/>
    <x v="0"/>
    <x v="0"/>
    <x v="0"/>
    <x v="0"/>
    <x v="0"/>
    <n v="0"/>
    <n v="3"/>
    <n v="11"/>
    <x v="0"/>
  </r>
  <r>
    <n v="9888"/>
    <n v="1969"/>
    <x v="0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x v="0"/>
    <x v="0"/>
    <x v="0"/>
    <x v="0"/>
    <x v="0"/>
    <n v="0"/>
    <n v="3"/>
    <n v="11"/>
    <x v="1"/>
  </r>
  <r>
    <n v="5263"/>
    <n v="1977"/>
    <x v="4"/>
    <s v="Married"/>
    <n v="31056"/>
    <n v="1"/>
    <n v="0"/>
    <d v="2013-01-22T00:00:00"/>
    <n v="99"/>
    <n v="5"/>
    <n v="10"/>
    <n v="13"/>
    <n v="3"/>
    <n v="8"/>
    <n v="16"/>
    <n v="1"/>
    <n v="1"/>
    <n v="0"/>
    <n v="3"/>
    <n v="8"/>
    <x v="0"/>
    <x v="0"/>
    <x v="0"/>
    <x v="0"/>
    <x v="0"/>
    <n v="0"/>
    <n v="3"/>
    <n v="11"/>
    <x v="1"/>
  </r>
  <r>
    <n v="1020"/>
    <n v="1973"/>
    <x v="0"/>
    <s v="Married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x v="0"/>
    <x v="0"/>
    <x v="1"/>
    <x v="0"/>
    <x v="0"/>
    <n v="0"/>
    <n v="3"/>
    <n v="11"/>
    <x v="1"/>
  </r>
  <r>
    <n v="9503"/>
    <n v="1980"/>
    <x v="0"/>
    <s v="Single"/>
    <n v="28071"/>
    <n v="0"/>
    <n v="0"/>
    <d v="2012-08-29T00:00:00"/>
    <n v="65"/>
    <n v="39"/>
    <n v="33"/>
    <n v="130"/>
    <n v="41"/>
    <n v="26"/>
    <n v="44"/>
    <n v="2"/>
    <n v="5"/>
    <n v="1"/>
    <n v="5"/>
    <n v="8"/>
    <x v="0"/>
    <x v="0"/>
    <x v="0"/>
    <x v="0"/>
    <x v="0"/>
    <n v="0"/>
    <n v="3"/>
    <n v="11"/>
    <x v="1"/>
  </r>
  <r>
    <n v="10613"/>
    <n v="1958"/>
    <x v="1"/>
    <s v="Together"/>
    <n v="37334"/>
    <n v="1"/>
    <n v="1"/>
    <d v="2014-02-26T00:00:00"/>
    <n v="44"/>
    <n v="26"/>
    <n v="1"/>
    <n v="16"/>
    <n v="2"/>
    <n v="2"/>
    <n v="15"/>
    <n v="4"/>
    <n v="3"/>
    <n v="0"/>
    <n v="4"/>
    <n v="4"/>
    <x v="0"/>
    <x v="0"/>
    <x v="0"/>
    <x v="0"/>
    <x v="0"/>
    <n v="0"/>
    <n v="3"/>
    <n v="11"/>
    <x v="1"/>
  </r>
  <r>
    <n v="67"/>
    <n v="1972"/>
    <x v="2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x v="0"/>
    <x v="0"/>
    <x v="0"/>
    <x v="0"/>
    <x v="0"/>
    <n v="0"/>
    <n v="3"/>
    <n v="11"/>
    <x v="1"/>
  </r>
  <r>
    <n v="6019"/>
    <n v="1971"/>
    <x v="1"/>
    <s v="Married"/>
    <n v="37126"/>
    <n v="1"/>
    <n v="0"/>
    <d v="2014-03-30T00:00:00"/>
    <n v="9"/>
    <n v="45"/>
    <n v="3"/>
    <n v="9"/>
    <n v="4"/>
    <n v="4"/>
    <n v="7"/>
    <n v="1"/>
    <n v="1"/>
    <n v="2"/>
    <n v="2"/>
    <n v="6"/>
    <x v="1"/>
    <x v="0"/>
    <x v="0"/>
    <x v="0"/>
    <x v="0"/>
    <n v="0"/>
    <n v="3"/>
    <n v="11"/>
    <x v="0"/>
  </r>
  <r>
    <n v="5863"/>
    <n v="1953"/>
    <x v="0"/>
    <s v="Married"/>
    <n v="47703"/>
    <n v="0"/>
    <n v="1"/>
    <d v="2013-05-29T00:00:00"/>
    <n v="95"/>
    <n v="359"/>
    <n v="0"/>
    <n v="134"/>
    <n v="13"/>
    <n v="26"/>
    <n v="123"/>
    <n v="4"/>
    <n v="6"/>
    <n v="3"/>
    <n v="8"/>
    <n v="5"/>
    <x v="0"/>
    <x v="0"/>
    <x v="0"/>
    <x v="0"/>
    <x v="0"/>
    <n v="0"/>
    <n v="3"/>
    <n v="11"/>
    <x v="1"/>
  </r>
  <r>
    <n v="3717"/>
    <n v="1959"/>
    <x v="0"/>
    <s v="Married"/>
    <n v="61180"/>
    <n v="0"/>
    <n v="1"/>
    <d v="2014-04-23T00:00:00"/>
    <n v="70"/>
    <n v="403"/>
    <n v="24"/>
    <n v="29"/>
    <n v="6"/>
    <n v="24"/>
    <n v="218"/>
    <n v="2"/>
    <n v="5"/>
    <n v="5"/>
    <n v="6"/>
    <n v="3"/>
    <x v="1"/>
    <x v="0"/>
    <x v="0"/>
    <x v="0"/>
    <x v="0"/>
    <n v="0"/>
    <n v="3"/>
    <n v="11"/>
    <x v="1"/>
  </r>
  <r>
    <n v="6730"/>
    <n v="1954"/>
    <x v="0"/>
    <s v="Married"/>
    <n v="38998"/>
    <n v="1"/>
    <n v="1"/>
    <d v="2012-11-03T00:00:00"/>
    <n v="92"/>
    <n v="34"/>
    <n v="1"/>
    <n v="14"/>
    <n v="0"/>
    <n v="0"/>
    <n v="5"/>
    <n v="3"/>
    <n v="2"/>
    <n v="0"/>
    <n v="3"/>
    <n v="8"/>
    <x v="0"/>
    <x v="0"/>
    <x v="0"/>
    <x v="0"/>
    <x v="0"/>
    <n v="1"/>
    <n v="3"/>
    <n v="11"/>
    <x v="1"/>
  </r>
  <r>
    <n v="10749"/>
    <n v="1991"/>
    <x v="0"/>
    <s v="Single"/>
    <n v="8028"/>
    <n v="0"/>
    <n v="0"/>
    <d v="2012-09-18T00:00:00"/>
    <n v="62"/>
    <n v="73"/>
    <n v="18"/>
    <n v="66"/>
    <n v="7"/>
    <n v="12"/>
    <n v="2"/>
    <n v="15"/>
    <n v="0"/>
    <n v="1"/>
    <n v="0"/>
    <n v="19"/>
    <x v="0"/>
    <x v="0"/>
    <x v="0"/>
    <x v="0"/>
    <x v="0"/>
    <n v="0"/>
    <n v="3"/>
    <n v="11"/>
    <x v="1"/>
  </r>
  <r>
    <n v="4998"/>
    <n v="1962"/>
    <x v="0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x v="0"/>
    <x v="0"/>
    <x v="0"/>
    <x v="1"/>
    <x v="0"/>
    <n v="0"/>
    <n v="3"/>
    <n v="11"/>
    <x v="1"/>
  </r>
  <r>
    <n v="6287"/>
    <n v="1986"/>
    <x v="0"/>
    <s v="Together"/>
    <n v="34728"/>
    <n v="1"/>
    <n v="0"/>
    <d v="2013-07-30T00:00:00"/>
    <n v="2"/>
    <n v="14"/>
    <n v="0"/>
    <n v="16"/>
    <n v="0"/>
    <n v="0"/>
    <n v="6"/>
    <n v="1"/>
    <n v="1"/>
    <n v="1"/>
    <n v="2"/>
    <n v="6"/>
    <x v="0"/>
    <x v="0"/>
    <x v="0"/>
    <x v="0"/>
    <x v="0"/>
    <n v="0"/>
    <n v="3"/>
    <n v="11"/>
    <x v="0"/>
  </r>
  <r>
    <n v="5985"/>
    <n v="1965"/>
    <x v="2"/>
    <s v="Single"/>
    <n v="33168"/>
    <n v="0"/>
    <n v="1"/>
    <d v="2012-10-13T00:00:00"/>
    <n v="0"/>
    <n v="80"/>
    <n v="1"/>
    <n v="37"/>
    <n v="0"/>
    <n v="1"/>
    <n v="3"/>
    <n v="3"/>
    <n v="2"/>
    <n v="1"/>
    <n v="4"/>
    <n v="7"/>
    <x v="0"/>
    <x v="0"/>
    <x v="0"/>
    <x v="0"/>
    <x v="0"/>
    <n v="0"/>
    <n v="3"/>
    <n v="11"/>
    <x v="1"/>
  </r>
  <r>
    <n v="4754"/>
    <n v="1966"/>
    <x v="2"/>
    <s v="Married"/>
    <n v="33585"/>
    <n v="0"/>
    <n v="1"/>
    <d v="2013-09-25T00:00:00"/>
    <n v="91"/>
    <n v="30"/>
    <n v="11"/>
    <n v="33"/>
    <n v="13"/>
    <n v="6"/>
    <n v="29"/>
    <n v="1"/>
    <n v="2"/>
    <n v="0"/>
    <n v="4"/>
    <n v="4"/>
    <x v="0"/>
    <x v="0"/>
    <x v="0"/>
    <x v="0"/>
    <x v="0"/>
    <n v="0"/>
    <n v="3"/>
    <n v="11"/>
    <x v="1"/>
  </r>
  <r>
    <n v="4002"/>
    <n v="1960"/>
    <x v="1"/>
    <s v="Married"/>
    <n v="77037"/>
    <n v="0"/>
    <n v="1"/>
    <d v="2013-10-13T00:00:00"/>
    <n v="3"/>
    <n v="463"/>
    <n v="96"/>
    <n v="333"/>
    <n v="168"/>
    <n v="53"/>
    <n v="10"/>
    <n v="1"/>
    <n v="7"/>
    <n v="7"/>
    <n v="12"/>
    <n v="3"/>
    <x v="0"/>
    <x v="0"/>
    <x v="0"/>
    <x v="0"/>
    <x v="0"/>
    <n v="0"/>
    <n v="3"/>
    <n v="11"/>
    <x v="1"/>
  </r>
  <r>
    <n v="8870"/>
    <n v="1984"/>
    <x v="0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x v="0"/>
    <x v="0"/>
    <x v="0"/>
    <x v="0"/>
    <x v="0"/>
    <n v="0"/>
    <n v="3"/>
    <n v="11"/>
    <x v="0"/>
  </r>
  <r>
    <n v="966"/>
    <n v="1966"/>
    <x v="0"/>
    <s v="Married"/>
    <n v="44529"/>
    <n v="0"/>
    <n v="1"/>
    <d v="2013-07-05T00:00:00"/>
    <n v="98"/>
    <n v="538"/>
    <n v="13"/>
    <n v="91"/>
    <n v="17"/>
    <n v="6"/>
    <n v="26"/>
    <n v="6"/>
    <n v="6"/>
    <n v="2"/>
    <n v="11"/>
    <n v="5"/>
    <x v="0"/>
    <x v="1"/>
    <x v="0"/>
    <x v="0"/>
    <x v="0"/>
    <n v="0"/>
    <n v="3"/>
    <n v="11"/>
    <x v="1"/>
  </r>
  <r>
    <n v="4767"/>
    <n v="1965"/>
    <x v="4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x v="0"/>
    <x v="0"/>
    <x v="1"/>
    <x v="0"/>
    <x v="0"/>
    <n v="0"/>
    <n v="3"/>
    <n v="11"/>
    <x v="1"/>
  </r>
  <r>
    <n v="9725"/>
    <n v="1966"/>
    <x v="1"/>
    <s v="Together"/>
    <n v="28764"/>
    <n v="1"/>
    <n v="1"/>
    <d v="2014-06-05T00:00:00"/>
    <n v="16"/>
    <n v="8"/>
    <n v="0"/>
    <n v="3"/>
    <n v="0"/>
    <n v="0"/>
    <n v="1"/>
    <n v="1"/>
    <n v="1"/>
    <n v="0"/>
    <n v="2"/>
    <n v="8"/>
    <x v="1"/>
    <x v="0"/>
    <x v="0"/>
    <x v="0"/>
    <x v="0"/>
    <n v="0"/>
    <n v="3"/>
    <n v="11"/>
    <x v="1"/>
  </r>
  <r>
    <n v="4475"/>
    <n v="1949"/>
    <x v="1"/>
    <s v="Married"/>
    <n v="69098"/>
    <n v="0"/>
    <n v="0"/>
    <d v="2013-02-16T00:00:00"/>
    <n v="82"/>
    <n v="1315"/>
    <n v="22"/>
    <n v="780"/>
    <n v="145"/>
    <n v="0"/>
    <n v="178"/>
    <n v="1"/>
    <n v="7"/>
    <n v="8"/>
    <n v="9"/>
    <n v="5"/>
    <x v="0"/>
    <x v="0"/>
    <x v="0"/>
    <x v="0"/>
    <x v="0"/>
    <n v="0"/>
    <n v="3"/>
    <n v="11"/>
    <x v="1"/>
  </r>
  <r>
    <n v="5740"/>
    <n v="1970"/>
    <x v="4"/>
    <s v="Divorced"/>
    <n v="25959"/>
    <n v="1"/>
    <n v="1"/>
    <d v="2013-02-14T00:00:00"/>
    <n v="1"/>
    <n v="4"/>
    <n v="2"/>
    <n v="12"/>
    <n v="7"/>
    <n v="5"/>
    <n v="26"/>
    <n v="2"/>
    <n v="1"/>
    <n v="2"/>
    <n v="2"/>
    <n v="6"/>
    <x v="0"/>
    <x v="0"/>
    <x v="0"/>
    <x v="0"/>
    <x v="0"/>
    <n v="0"/>
    <n v="3"/>
    <n v="11"/>
    <x v="0"/>
  </r>
  <r>
    <n v="5731"/>
    <n v="1983"/>
    <x v="2"/>
    <s v="Married"/>
    <n v="27100"/>
    <n v="1"/>
    <n v="0"/>
    <d v="2013-04-05T00:00:00"/>
    <n v="64"/>
    <n v="12"/>
    <n v="0"/>
    <n v="13"/>
    <n v="2"/>
    <n v="0"/>
    <n v="10"/>
    <n v="1"/>
    <n v="1"/>
    <n v="0"/>
    <n v="3"/>
    <n v="7"/>
    <x v="0"/>
    <x v="0"/>
    <x v="0"/>
    <x v="0"/>
    <x v="0"/>
    <n v="0"/>
    <n v="3"/>
    <n v="11"/>
    <x v="1"/>
  </r>
  <r>
    <n v="7290"/>
    <n v="1985"/>
    <x v="0"/>
    <s v="Single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x v="0"/>
    <x v="0"/>
    <x v="0"/>
    <x v="0"/>
    <x v="0"/>
    <n v="0"/>
    <n v="3"/>
    <n v="11"/>
    <x v="1"/>
  </r>
  <r>
    <n v="3846"/>
    <n v="1974"/>
    <x v="0"/>
    <s v="Married"/>
    <n v="42557"/>
    <n v="0"/>
    <n v="1"/>
    <d v="2012-08-29T00:00:00"/>
    <n v="98"/>
    <n v="192"/>
    <n v="5"/>
    <n v="53"/>
    <n v="0"/>
    <n v="5"/>
    <n v="15"/>
    <n v="4"/>
    <n v="6"/>
    <n v="1"/>
    <n v="4"/>
    <n v="8"/>
    <x v="0"/>
    <x v="0"/>
    <x v="0"/>
    <x v="0"/>
    <x v="0"/>
    <n v="0"/>
    <n v="3"/>
    <n v="11"/>
    <x v="1"/>
  </r>
  <r>
    <n v="8104"/>
    <n v="1951"/>
    <x v="1"/>
    <s v="Married"/>
    <n v="53312"/>
    <n v="0"/>
    <n v="0"/>
    <d v="2013-08-09T00:00:00"/>
    <n v="32"/>
    <n v="241"/>
    <n v="0"/>
    <n v="12"/>
    <n v="0"/>
    <n v="0"/>
    <n v="25"/>
    <n v="1"/>
    <n v="5"/>
    <n v="1"/>
    <n v="5"/>
    <n v="7"/>
    <x v="0"/>
    <x v="0"/>
    <x v="0"/>
    <x v="0"/>
    <x v="0"/>
    <n v="0"/>
    <n v="3"/>
    <n v="11"/>
    <x v="1"/>
  </r>
  <r>
    <n v="4507"/>
    <n v="1952"/>
    <x v="0"/>
    <s v="Single"/>
    <n v="72228"/>
    <n v="0"/>
    <n v="0"/>
    <d v="2012-11-27T00:00:00"/>
    <n v="87"/>
    <n v="631"/>
    <n v="28"/>
    <n v="491"/>
    <n v="30"/>
    <n v="14"/>
    <n v="56"/>
    <n v="1"/>
    <n v="6"/>
    <n v="7"/>
    <n v="8"/>
    <n v="3"/>
    <x v="0"/>
    <x v="0"/>
    <x v="0"/>
    <x v="0"/>
    <x v="0"/>
    <n v="0"/>
    <n v="3"/>
    <n v="11"/>
    <x v="1"/>
  </r>
  <r>
    <n v="11013"/>
    <n v="1987"/>
    <x v="0"/>
    <s v="Together"/>
    <n v="67605"/>
    <n v="0"/>
    <n v="0"/>
    <d v="2013-03-31T00:00:00"/>
    <n v="84"/>
    <n v="336"/>
    <n v="28"/>
    <n v="282"/>
    <n v="184"/>
    <n v="54"/>
    <n v="54"/>
    <n v="1"/>
    <n v="2"/>
    <n v="8"/>
    <n v="6"/>
    <n v="1"/>
    <x v="0"/>
    <x v="0"/>
    <x v="0"/>
    <x v="0"/>
    <x v="0"/>
    <n v="0"/>
    <n v="3"/>
    <n v="11"/>
    <x v="1"/>
  </r>
  <r>
    <n v="4491"/>
    <n v="1949"/>
    <x v="2"/>
    <s v="Married"/>
    <n v="62845"/>
    <n v="1"/>
    <n v="1"/>
    <d v="2012-10-01T00:00:00"/>
    <n v="3"/>
    <n v="1099"/>
    <n v="0"/>
    <n v="45"/>
    <n v="0"/>
    <n v="0"/>
    <n v="34"/>
    <n v="11"/>
    <n v="3"/>
    <n v="4"/>
    <n v="10"/>
    <n v="8"/>
    <x v="0"/>
    <x v="1"/>
    <x v="0"/>
    <x v="0"/>
    <x v="0"/>
    <n v="0"/>
    <n v="3"/>
    <n v="11"/>
    <x v="1"/>
  </r>
  <r>
    <n v="3759"/>
    <n v="1958"/>
    <x v="0"/>
    <s v="Together"/>
    <n v="65196"/>
    <n v="0"/>
    <n v="2"/>
    <d v="2013-07-25T00:00:00"/>
    <n v="34"/>
    <n v="743"/>
    <n v="19"/>
    <n v="181"/>
    <n v="12"/>
    <n v="0"/>
    <n v="200"/>
    <n v="2"/>
    <n v="7"/>
    <n v="6"/>
    <n v="11"/>
    <n v="5"/>
    <x v="1"/>
    <x v="0"/>
    <x v="0"/>
    <x v="0"/>
    <x v="0"/>
    <n v="0"/>
    <n v="3"/>
    <n v="11"/>
    <x v="1"/>
  </r>
  <r>
    <n v="1162"/>
    <n v="1987"/>
    <x v="1"/>
    <s v="Single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x v="0"/>
    <x v="0"/>
    <x v="0"/>
    <x v="0"/>
    <x v="0"/>
    <n v="0"/>
    <n v="3"/>
    <n v="11"/>
    <x v="0"/>
  </r>
  <r>
    <n v="2055"/>
    <n v="1973"/>
    <x v="1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x v="1"/>
    <x v="0"/>
    <x v="0"/>
    <x v="0"/>
    <x v="0"/>
    <n v="0"/>
    <n v="3"/>
    <n v="11"/>
    <x v="1"/>
  </r>
  <r>
    <n v="10766"/>
    <n v="1964"/>
    <x v="1"/>
    <s v="Married"/>
    <n v="65526"/>
    <n v="0"/>
    <n v="1"/>
    <d v="2014-04-11T00:00:00"/>
    <n v="22"/>
    <n v="397"/>
    <n v="19"/>
    <n v="69"/>
    <n v="12"/>
    <n v="0"/>
    <n v="9"/>
    <n v="1"/>
    <n v="4"/>
    <n v="4"/>
    <n v="8"/>
    <n v="2"/>
    <x v="0"/>
    <x v="0"/>
    <x v="0"/>
    <x v="0"/>
    <x v="0"/>
    <n v="0"/>
    <n v="3"/>
    <n v="11"/>
    <x v="1"/>
  </r>
  <r>
    <n v="4415"/>
    <n v="1961"/>
    <x v="0"/>
    <s v="Married"/>
    <n v="16860"/>
    <n v="1"/>
    <n v="1"/>
    <d v="2012-09-12T00:00:00"/>
    <n v="19"/>
    <n v="10"/>
    <n v="4"/>
    <n v="4"/>
    <n v="3"/>
    <n v="3"/>
    <n v="14"/>
    <n v="3"/>
    <n v="1"/>
    <n v="1"/>
    <n v="3"/>
    <n v="7"/>
    <x v="0"/>
    <x v="0"/>
    <x v="0"/>
    <x v="0"/>
    <x v="0"/>
    <n v="0"/>
    <n v="3"/>
    <n v="11"/>
    <x v="1"/>
  </r>
  <r>
    <n v="3005"/>
    <n v="1992"/>
    <x v="0"/>
    <s v="Single"/>
    <n v="83528"/>
    <n v="0"/>
    <n v="0"/>
    <d v="2014-05-01T00:00:00"/>
    <n v="7"/>
    <n v="530"/>
    <n v="117"/>
    <n v="678"/>
    <n v="134"/>
    <n v="44"/>
    <n v="147"/>
    <n v="1"/>
    <n v="4"/>
    <n v="10"/>
    <n v="8"/>
    <n v="1"/>
    <x v="1"/>
    <x v="0"/>
    <x v="0"/>
    <x v="1"/>
    <x v="0"/>
    <n v="0"/>
    <n v="3"/>
    <n v="11"/>
    <x v="0"/>
  </r>
  <r>
    <n v="2223"/>
    <n v="1965"/>
    <x v="4"/>
    <s v="Divorced"/>
    <n v="64176"/>
    <n v="0"/>
    <n v="1"/>
    <d v="2012-08-03T00:00:00"/>
    <n v="52"/>
    <n v="1215"/>
    <n v="33"/>
    <n v="249"/>
    <n v="64"/>
    <n v="116"/>
    <n v="149"/>
    <n v="8"/>
    <n v="8"/>
    <n v="9"/>
    <n v="8"/>
    <n v="6"/>
    <x v="0"/>
    <x v="0"/>
    <x v="0"/>
    <x v="0"/>
    <x v="0"/>
    <n v="0"/>
    <n v="3"/>
    <n v="11"/>
    <x v="1"/>
  </r>
  <r>
    <n v="4817"/>
    <n v="1956"/>
    <x v="0"/>
    <s v="Divorced"/>
    <n v="22304"/>
    <n v="0"/>
    <n v="0"/>
    <d v="2012-08-04T00:00:00"/>
    <n v="91"/>
    <n v="3"/>
    <n v="2"/>
    <n v="7"/>
    <n v="0"/>
    <n v="4"/>
    <n v="2"/>
    <n v="1"/>
    <n v="1"/>
    <n v="0"/>
    <n v="2"/>
    <n v="8"/>
    <x v="0"/>
    <x v="0"/>
    <x v="0"/>
    <x v="0"/>
    <x v="0"/>
    <n v="0"/>
    <n v="3"/>
    <n v="11"/>
    <x v="1"/>
  </r>
  <r>
    <n v="2875"/>
    <n v="1978"/>
    <x v="0"/>
    <s v="Married"/>
    <n v="67023"/>
    <n v="0"/>
    <n v="0"/>
    <d v="2014-03-04T00:00:00"/>
    <n v="93"/>
    <n v="444"/>
    <n v="44"/>
    <n v="382"/>
    <n v="11"/>
    <n v="8"/>
    <n v="17"/>
    <n v="1"/>
    <n v="3"/>
    <n v="7"/>
    <n v="13"/>
    <n v="2"/>
    <x v="0"/>
    <x v="0"/>
    <x v="0"/>
    <x v="0"/>
    <x v="0"/>
    <n v="1"/>
    <n v="3"/>
    <n v="11"/>
    <x v="1"/>
  </r>
  <r>
    <n v="10536"/>
    <n v="1971"/>
    <x v="1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x v="0"/>
    <x v="0"/>
    <x v="0"/>
    <x v="0"/>
    <x v="0"/>
    <n v="0"/>
    <n v="3"/>
    <n v="11"/>
    <x v="1"/>
  </r>
  <r>
    <n v="11112"/>
    <n v="1966"/>
    <x v="0"/>
    <s v="Together"/>
    <n v="70713"/>
    <n v="0"/>
    <n v="1"/>
    <d v="2012-12-03T00:00:00"/>
    <n v="23"/>
    <n v="736"/>
    <n v="114"/>
    <n v="279"/>
    <n v="82"/>
    <n v="76"/>
    <n v="190"/>
    <n v="6"/>
    <n v="5"/>
    <n v="6"/>
    <n v="8"/>
    <n v="3"/>
    <x v="0"/>
    <x v="0"/>
    <x v="0"/>
    <x v="0"/>
    <x v="0"/>
    <n v="0"/>
    <n v="3"/>
    <n v="11"/>
    <x v="1"/>
  </r>
  <r>
    <n v="3807"/>
    <n v="1955"/>
    <x v="0"/>
    <s v="Together"/>
    <n v="59925"/>
    <n v="0"/>
    <n v="1"/>
    <d v="2012-11-30T00:00:00"/>
    <n v="83"/>
    <n v="473"/>
    <n v="21"/>
    <n v="176"/>
    <n v="19"/>
    <n v="21"/>
    <n v="56"/>
    <n v="3"/>
    <n v="9"/>
    <n v="2"/>
    <n v="9"/>
    <n v="6"/>
    <x v="0"/>
    <x v="0"/>
    <x v="0"/>
    <x v="0"/>
    <x v="0"/>
    <n v="0"/>
    <n v="3"/>
    <n v="11"/>
    <x v="1"/>
  </r>
  <r>
    <n v="9197"/>
    <n v="1953"/>
    <x v="0"/>
    <s v="Married"/>
    <n v="39722"/>
    <n v="0"/>
    <n v="1"/>
    <d v="2014-02-24T00:00:00"/>
    <n v="92"/>
    <n v="32"/>
    <n v="0"/>
    <n v="5"/>
    <n v="2"/>
    <n v="0"/>
    <n v="8"/>
    <n v="2"/>
    <n v="2"/>
    <n v="0"/>
    <n v="3"/>
    <n v="5"/>
    <x v="0"/>
    <x v="0"/>
    <x v="0"/>
    <x v="0"/>
    <x v="0"/>
    <n v="0"/>
    <n v="3"/>
    <n v="11"/>
    <x v="1"/>
  </r>
  <r>
    <n v="10832"/>
    <n v="1958"/>
    <x v="0"/>
    <s v="Together"/>
    <n v="46610"/>
    <n v="0"/>
    <n v="0"/>
    <d v="2013-07-18T00:00:00"/>
    <n v="4"/>
    <n v="288"/>
    <n v="10"/>
    <n v="30"/>
    <n v="4"/>
    <n v="10"/>
    <n v="125"/>
    <n v="1"/>
    <n v="6"/>
    <n v="1"/>
    <n v="6"/>
    <n v="6"/>
    <x v="0"/>
    <x v="0"/>
    <x v="0"/>
    <x v="0"/>
    <x v="0"/>
    <n v="0"/>
    <n v="3"/>
    <n v="11"/>
    <x v="1"/>
  </r>
  <r>
    <n v="6421"/>
    <n v="1961"/>
    <x v="0"/>
    <s v="Together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x v="0"/>
    <x v="0"/>
    <x v="0"/>
    <x v="1"/>
    <x v="0"/>
    <n v="0"/>
    <n v="3"/>
    <n v="11"/>
    <x v="1"/>
  </r>
  <r>
    <n v="4207"/>
    <n v="1981"/>
    <x v="1"/>
    <s v="Married"/>
    <n v="87171"/>
    <n v="0"/>
    <n v="0"/>
    <d v="2013-05-01T00:00:00"/>
    <n v="27"/>
    <n v="1001"/>
    <n v="44"/>
    <n v="107"/>
    <n v="58"/>
    <n v="44"/>
    <n v="44"/>
    <n v="1"/>
    <n v="6"/>
    <n v="7"/>
    <n v="11"/>
    <n v="2"/>
    <x v="1"/>
    <x v="0"/>
    <x v="1"/>
    <x v="0"/>
    <x v="0"/>
    <n v="0"/>
    <n v="3"/>
    <n v="11"/>
    <x v="1"/>
  </r>
  <r>
    <n v="577"/>
    <n v="1976"/>
    <x v="4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x v="0"/>
    <x v="0"/>
    <x v="0"/>
    <x v="0"/>
    <x v="0"/>
    <n v="0"/>
    <n v="3"/>
    <n v="11"/>
    <x v="1"/>
  </r>
  <r>
    <n v="10855"/>
    <n v="1968"/>
    <x v="2"/>
    <s v="Single"/>
    <n v="50014"/>
    <n v="1"/>
    <n v="0"/>
    <d v="2014-01-22T00:00:00"/>
    <n v="9"/>
    <n v="234"/>
    <n v="14"/>
    <n v="77"/>
    <n v="19"/>
    <n v="10"/>
    <n v="42"/>
    <n v="2"/>
    <n v="4"/>
    <n v="1"/>
    <n v="8"/>
    <n v="5"/>
    <x v="0"/>
    <x v="0"/>
    <x v="0"/>
    <x v="0"/>
    <x v="0"/>
    <n v="0"/>
    <n v="3"/>
    <n v="11"/>
    <x v="1"/>
  </r>
  <r>
    <n v="3081"/>
    <n v="1978"/>
    <x v="1"/>
    <s v="Married"/>
    <n v="41014"/>
    <n v="1"/>
    <n v="0"/>
    <d v="2013-04-22T00:00:00"/>
    <n v="65"/>
    <n v="7"/>
    <n v="2"/>
    <n v="6"/>
    <n v="2"/>
    <n v="0"/>
    <n v="3"/>
    <n v="1"/>
    <n v="1"/>
    <n v="0"/>
    <n v="2"/>
    <n v="7"/>
    <x v="0"/>
    <x v="0"/>
    <x v="0"/>
    <x v="0"/>
    <x v="0"/>
    <n v="0"/>
    <n v="3"/>
    <n v="11"/>
    <x v="1"/>
  </r>
  <r>
    <n v="3535"/>
    <n v="1965"/>
    <x v="0"/>
    <s v="Single"/>
    <n v="66294"/>
    <n v="0"/>
    <n v="0"/>
    <d v="2014-03-17T00:00:00"/>
    <n v="68"/>
    <n v="251"/>
    <n v="108"/>
    <n v="334"/>
    <n v="65"/>
    <n v="92"/>
    <n v="117"/>
    <n v="1"/>
    <n v="4"/>
    <n v="3"/>
    <n v="5"/>
    <n v="2"/>
    <x v="0"/>
    <x v="0"/>
    <x v="0"/>
    <x v="0"/>
    <x v="0"/>
    <n v="0"/>
    <n v="3"/>
    <n v="11"/>
    <x v="1"/>
  </r>
  <r>
    <n v="247"/>
    <n v="1971"/>
    <x v="0"/>
    <s v="Married"/>
    <n v="36715"/>
    <n v="1"/>
    <n v="0"/>
    <d v="2012-11-17T00:00:00"/>
    <n v="16"/>
    <n v="172"/>
    <n v="10"/>
    <n v="125"/>
    <n v="21"/>
    <n v="13"/>
    <n v="16"/>
    <n v="6"/>
    <n v="7"/>
    <n v="2"/>
    <n v="4"/>
    <n v="9"/>
    <x v="0"/>
    <x v="0"/>
    <x v="0"/>
    <x v="0"/>
    <x v="0"/>
    <n v="0"/>
    <n v="3"/>
    <n v="11"/>
    <x v="0"/>
  </r>
  <r>
    <n v="8707"/>
    <n v="1956"/>
    <x v="0"/>
    <s v="Married"/>
    <n v="79456"/>
    <n v="0"/>
    <n v="0"/>
    <d v="2012-08-22T00:00:00"/>
    <n v="12"/>
    <n v="565"/>
    <n v="42"/>
    <n v="548"/>
    <n v="64"/>
    <n v="83"/>
    <n v="99"/>
    <n v="1"/>
    <n v="5"/>
    <n v="6"/>
    <n v="4"/>
    <n v="3"/>
    <x v="0"/>
    <x v="0"/>
    <x v="0"/>
    <x v="0"/>
    <x v="0"/>
    <n v="0"/>
    <n v="3"/>
    <n v="11"/>
    <x v="0"/>
  </r>
  <r>
    <n v="9523"/>
    <n v="1982"/>
    <x v="0"/>
    <s v="Together"/>
    <n v="40479"/>
    <n v="1"/>
    <n v="0"/>
    <d v="2013-08-17T00:00:00"/>
    <n v="95"/>
    <n v="5"/>
    <n v="0"/>
    <n v="8"/>
    <n v="2"/>
    <n v="0"/>
    <n v="0"/>
    <n v="1"/>
    <n v="0"/>
    <n v="0"/>
    <n v="3"/>
    <n v="4"/>
    <x v="0"/>
    <x v="0"/>
    <x v="0"/>
    <x v="0"/>
    <x v="0"/>
    <n v="0"/>
    <n v="3"/>
    <n v="11"/>
    <x v="1"/>
  </r>
  <r>
    <n v="6072"/>
    <n v="1970"/>
    <x v="2"/>
    <s v="Single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x v="0"/>
    <x v="0"/>
    <x v="0"/>
    <x v="1"/>
    <x v="0"/>
    <n v="0"/>
    <n v="3"/>
    <n v="11"/>
    <x v="0"/>
  </r>
  <r>
    <n v="6295"/>
    <n v="1977"/>
    <x v="0"/>
    <s v="Married"/>
    <n v="54233"/>
    <n v="0"/>
    <n v="1"/>
    <d v="2013-02-04T00:00:00"/>
    <n v="46"/>
    <n v="652"/>
    <n v="8"/>
    <n v="158"/>
    <n v="21"/>
    <n v="0"/>
    <n v="142"/>
    <n v="4"/>
    <n v="11"/>
    <n v="6"/>
    <n v="5"/>
    <n v="8"/>
    <x v="0"/>
    <x v="0"/>
    <x v="0"/>
    <x v="0"/>
    <x v="0"/>
    <n v="0"/>
    <n v="3"/>
    <n v="11"/>
    <x v="1"/>
  </r>
  <r>
    <n v="10914"/>
    <n v="1970"/>
    <x v="0"/>
    <s v="Single"/>
    <n v="24163"/>
    <n v="1"/>
    <n v="1"/>
    <d v="2013-10-12T00:00:00"/>
    <n v="3"/>
    <n v="4"/>
    <n v="1"/>
    <n v="7"/>
    <n v="2"/>
    <n v="1"/>
    <n v="2"/>
    <n v="2"/>
    <n v="1"/>
    <n v="0"/>
    <n v="3"/>
    <n v="4"/>
    <x v="0"/>
    <x v="0"/>
    <x v="0"/>
    <x v="0"/>
    <x v="0"/>
    <n v="0"/>
    <n v="3"/>
    <n v="11"/>
    <x v="1"/>
  </r>
  <r>
    <n v="1509"/>
    <n v="1958"/>
    <x v="1"/>
    <s v="Together"/>
    <n v="84460"/>
    <n v="0"/>
    <n v="0"/>
    <d v="2013-01-04T00:00:00"/>
    <n v="80"/>
    <n v="152"/>
    <n v="27"/>
    <n v="103"/>
    <n v="106"/>
    <n v="54"/>
    <n v="81"/>
    <n v="0"/>
    <n v="9"/>
    <n v="9"/>
    <n v="4"/>
    <n v="5"/>
    <x v="0"/>
    <x v="1"/>
    <x v="1"/>
    <x v="1"/>
    <x v="1"/>
    <n v="0"/>
    <n v="3"/>
    <n v="11"/>
    <x v="0"/>
  </r>
  <r>
    <n v="5577"/>
    <n v="1983"/>
    <x v="0"/>
    <s v="Together"/>
    <n v="43776"/>
    <n v="1"/>
    <n v="0"/>
    <d v="2014-05-03T00:00:00"/>
    <n v="77"/>
    <n v="8"/>
    <n v="0"/>
    <n v="9"/>
    <n v="2"/>
    <n v="1"/>
    <n v="3"/>
    <n v="1"/>
    <n v="1"/>
    <n v="0"/>
    <n v="2"/>
    <n v="6"/>
    <x v="0"/>
    <x v="0"/>
    <x v="0"/>
    <x v="0"/>
    <x v="0"/>
    <n v="0"/>
    <n v="3"/>
    <n v="11"/>
    <x v="1"/>
  </r>
  <r>
    <n v="7348"/>
    <n v="1958"/>
    <x v="1"/>
    <s v="Single"/>
    <n v="71691"/>
    <n v="0"/>
    <n v="0"/>
    <d v="2014-03-17T00:00:00"/>
    <n v="0"/>
    <n v="336"/>
    <n v="130"/>
    <n v="411"/>
    <n v="240"/>
    <n v="32"/>
    <n v="43"/>
    <n v="1"/>
    <n v="4"/>
    <n v="7"/>
    <n v="5"/>
    <n v="2"/>
    <x v="0"/>
    <x v="0"/>
    <x v="0"/>
    <x v="0"/>
    <x v="0"/>
    <n v="0"/>
    <n v="3"/>
    <n v="11"/>
    <x v="0"/>
  </r>
  <r>
    <n v="1127"/>
    <n v="1973"/>
    <x v="1"/>
    <s v="Married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x v="0"/>
    <x v="0"/>
    <x v="1"/>
    <x v="0"/>
    <x v="0"/>
    <n v="0"/>
    <n v="3"/>
    <n v="11"/>
    <x v="1"/>
  </r>
  <r>
    <n v="1833"/>
    <n v="1974"/>
    <x v="1"/>
    <s v="Single"/>
    <n v="39190"/>
    <n v="1"/>
    <n v="0"/>
    <d v="2014-04-26T00:00:00"/>
    <n v="91"/>
    <n v="68"/>
    <n v="8"/>
    <n v="18"/>
    <n v="19"/>
    <n v="8"/>
    <n v="12"/>
    <n v="2"/>
    <n v="2"/>
    <n v="1"/>
    <n v="4"/>
    <n v="5"/>
    <x v="0"/>
    <x v="0"/>
    <x v="0"/>
    <x v="0"/>
    <x v="0"/>
    <n v="0"/>
    <n v="3"/>
    <n v="11"/>
    <x v="1"/>
  </r>
  <r>
    <n v="4944"/>
    <n v="1959"/>
    <x v="0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x v="0"/>
    <x v="0"/>
    <x v="0"/>
    <x v="0"/>
    <x v="0"/>
    <n v="0"/>
    <n v="3"/>
    <n v="11"/>
    <x v="1"/>
  </r>
  <r>
    <n v="9080"/>
    <n v="1972"/>
    <x v="1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x v="0"/>
    <x v="0"/>
    <x v="0"/>
    <x v="0"/>
    <x v="0"/>
    <n v="0"/>
    <n v="3"/>
    <n v="11"/>
    <x v="1"/>
  </r>
  <r>
    <n v="6466"/>
    <n v="1965"/>
    <x v="1"/>
    <s v="Married"/>
    <n v="57236"/>
    <n v="1"/>
    <n v="1"/>
    <d v="2014-03-12T00:00:00"/>
    <n v="22"/>
    <n v="105"/>
    <n v="0"/>
    <n v="9"/>
    <n v="2"/>
    <n v="1"/>
    <n v="4"/>
    <n v="3"/>
    <n v="2"/>
    <n v="1"/>
    <n v="4"/>
    <n v="3"/>
    <x v="0"/>
    <x v="0"/>
    <x v="0"/>
    <x v="0"/>
    <x v="0"/>
    <n v="0"/>
    <n v="3"/>
    <n v="11"/>
    <x v="1"/>
  </r>
  <r>
    <n v="9964"/>
    <n v="1979"/>
    <x v="0"/>
    <s v="Single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x v="0"/>
    <x v="0"/>
    <x v="0"/>
    <x v="0"/>
    <x v="0"/>
    <n v="0"/>
    <n v="3"/>
    <n v="11"/>
    <x v="1"/>
  </r>
  <r>
    <n v="4790"/>
    <n v="1958"/>
    <x v="0"/>
    <s v="Divorced"/>
    <n v="79803"/>
    <n v="0"/>
    <n v="1"/>
    <d v="2014-06-02T00:00:00"/>
    <n v="54"/>
    <n v="574"/>
    <n v="8"/>
    <n v="216"/>
    <n v="21"/>
    <n v="16"/>
    <n v="33"/>
    <n v="1"/>
    <n v="4"/>
    <n v="3"/>
    <n v="5"/>
    <n v="1"/>
    <x v="0"/>
    <x v="0"/>
    <x v="0"/>
    <x v="0"/>
    <x v="0"/>
    <n v="0"/>
    <n v="3"/>
    <n v="11"/>
    <x v="1"/>
  </r>
  <r>
    <n v="10245"/>
    <n v="1986"/>
    <x v="4"/>
    <s v="Single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x v="0"/>
    <x v="0"/>
    <x v="0"/>
    <x v="0"/>
    <x v="0"/>
    <n v="0"/>
    <n v="3"/>
    <n v="11"/>
    <x v="1"/>
  </r>
  <r>
    <n v="1109"/>
    <n v="1982"/>
    <x v="2"/>
    <s v="Together"/>
    <n v="27590"/>
    <n v="1"/>
    <n v="0"/>
    <d v="2013-04-23T00:00:00"/>
    <n v="38"/>
    <n v="6"/>
    <n v="0"/>
    <n v="5"/>
    <n v="0"/>
    <n v="0"/>
    <n v="1"/>
    <n v="1"/>
    <n v="1"/>
    <n v="0"/>
    <n v="2"/>
    <n v="7"/>
    <x v="0"/>
    <x v="0"/>
    <x v="0"/>
    <x v="0"/>
    <x v="0"/>
    <n v="0"/>
    <n v="3"/>
    <n v="11"/>
    <x v="1"/>
  </r>
  <r>
    <n v="6001"/>
    <n v="1979"/>
    <x v="0"/>
    <s v="Married"/>
    <n v="56775"/>
    <n v="0"/>
    <n v="1"/>
    <d v="2013-01-02T00:00:00"/>
    <n v="62"/>
    <n v="614"/>
    <n v="35"/>
    <n v="160"/>
    <n v="58"/>
    <n v="35"/>
    <n v="35"/>
    <n v="2"/>
    <n v="5"/>
    <n v="8"/>
    <n v="10"/>
    <n v="5"/>
    <x v="0"/>
    <x v="0"/>
    <x v="0"/>
    <x v="0"/>
    <x v="0"/>
    <n v="0"/>
    <n v="3"/>
    <n v="11"/>
    <x v="1"/>
  </r>
  <r>
    <n v="5538"/>
    <n v="1975"/>
    <x v="0"/>
    <s v="Divorced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x v="1"/>
    <x v="0"/>
    <x v="1"/>
    <x v="1"/>
    <x v="0"/>
    <n v="0"/>
    <n v="3"/>
    <n v="11"/>
    <x v="0"/>
  </r>
  <r>
    <n v="10552"/>
    <n v="1979"/>
    <x v="4"/>
    <s v="Married"/>
    <n v="54210"/>
    <n v="0"/>
    <n v="1"/>
    <d v="2013-05-20T00:00:00"/>
    <n v="18"/>
    <n v="70"/>
    <n v="54"/>
    <n v="109"/>
    <n v="80"/>
    <n v="9"/>
    <n v="45"/>
    <n v="2"/>
    <n v="4"/>
    <n v="1"/>
    <n v="7"/>
    <n v="5"/>
    <x v="0"/>
    <x v="0"/>
    <x v="0"/>
    <x v="0"/>
    <x v="0"/>
    <n v="0"/>
    <n v="3"/>
    <n v="11"/>
    <x v="1"/>
  </r>
  <r>
    <n v="1545"/>
    <n v="1986"/>
    <x v="0"/>
    <s v="Married"/>
    <n v="38508"/>
    <n v="1"/>
    <n v="0"/>
    <d v="2013-08-02T00:00:00"/>
    <n v="95"/>
    <n v="120"/>
    <n v="19"/>
    <n v="206"/>
    <n v="25"/>
    <n v="19"/>
    <n v="54"/>
    <n v="6"/>
    <n v="7"/>
    <n v="2"/>
    <n v="5"/>
    <n v="8"/>
    <x v="0"/>
    <x v="0"/>
    <x v="0"/>
    <x v="0"/>
    <x v="0"/>
    <n v="0"/>
    <n v="3"/>
    <n v="11"/>
    <x v="1"/>
  </r>
  <r>
    <n v="7409"/>
    <n v="1970"/>
    <x v="0"/>
    <s v="Together"/>
    <n v="53187"/>
    <n v="1"/>
    <n v="0"/>
    <d v="2013-10-26T00:00:00"/>
    <n v="66"/>
    <n v="211"/>
    <n v="2"/>
    <n v="30"/>
    <n v="7"/>
    <n v="7"/>
    <n v="10"/>
    <n v="2"/>
    <n v="4"/>
    <n v="1"/>
    <n v="6"/>
    <n v="5"/>
    <x v="0"/>
    <x v="0"/>
    <x v="0"/>
    <x v="0"/>
    <x v="0"/>
    <n v="0"/>
    <n v="3"/>
    <n v="11"/>
    <x v="1"/>
  </r>
  <r>
    <n v="4444"/>
    <n v="1972"/>
    <x v="0"/>
    <s v="Married"/>
    <n v="30023"/>
    <n v="1"/>
    <n v="0"/>
    <d v="2014-03-24T00:00:00"/>
    <n v="28"/>
    <n v="11"/>
    <n v="0"/>
    <n v="16"/>
    <n v="7"/>
    <n v="6"/>
    <n v="21"/>
    <n v="1"/>
    <n v="2"/>
    <n v="0"/>
    <n v="3"/>
    <n v="8"/>
    <x v="0"/>
    <x v="0"/>
    <x v="0"/>
    <x v="0"/>
    <x v="0"/>
    <n v="0"/>
    <n v="3"/>
    <n v="11"/>
    <x v="1"/>
  </r>
  <r>
    <n v="146"/>
    <n v="1960"/>
    <x v="1"/>
    <s v="Single"/>
    <n v="76045"/>
    <n v="0"/>
    <n v="0"/>
    <d v="2013-11-15T00:00:00"/>
    <n v="78"/>
    <n v="760"/>
    <n v="53"/>
    <n v="400"/>
    <n v="17"/>
    <n v="93"/>
    <n v="0"/>
    <n v="1"/>
    <n v="4"/>
    <n v="5"/>
    <n v="11"/>
    <n v="2"/>
    <x v="0"/>
    <x v="0"/>
    <x v="0"/>
    <x v="1"/>
    <x v="0"/>
    <n v="0"/>
    <n v="3"/>
    <n v="11"/>
    <x v="1"/>
  </r>
  <r>
    <n v="6271"/>
    <n v="1952"/>
    <x v="1"/>
    <s v="Married"/>
    <n v="50870"/>
    <n v="0"/>
    <n v="1"/>
    <d v="2014-06-19T00:00:00"/>
    <n v="13"/>
    <n v="53"/>
    <n v="0"/>
    <n v="8"/>
    <n v="0"/>
    <n v="0"/>
    <n v="2"/>
    <n v="1"/>
    <n v="2"/>
    <n v="0"/>
    <n v="3"/>
    <n v="5"/>
    <x v="0"/>
    <x v="0"/>
    <x v="0"/>
    <x v="0"/>
    <x v="0"/>
    <n v="0"/>
    <n v="3"/>
    <n v="11"/>
    <x v="1"/>
  </r>
  <r>
    <n v="10065"/>
    <n v="1970"/>
    <x v="4"/>
    <s v="Married"/>
    <n v="15315"/>
    <n v="0"/>
    <n v="0"/>
    <d v="2013-08-03T00:00:00"/>
    <n v="27"/>
    <n v="7"/>
    <n v="4"/>
    <n v="13"/>
    <n v="15"/>
    <n v="8"/>
    <n v="17"/>
    <n v="2"/>
    <n v="2"/>
    <n v="0"/>
    <n v="4"/>
    <n v="5"/>
    <x v="0"/>
    <x v="0"/>
    <x v="0"/>
    <x v="0"/>
    <x v="0"/>
    <n v="0"/>
    <n v="3"/>
    <n v="11"/>
    <x v="1"/>
  </r>
  <r>
    <n v="4741"/>
    <n v="1974"/>
    <x v="4"/>
    <s v="Married"/>
    <n v="65463"/>
    <n v="1"/>
    <n v="0"/>
    <d v="2014-01-30T00:00:00"/>
    <n v="17"/>
    <n v="391"/>
    <n v="32"/>
    <n v="70"/>
    <n v="21"/>
    <n v="32"/>
    <n v="16"/>
    <n v="2"/>
    <n v="6"/>
    <n v="2"/>
    <n v="9"/>
    <n v="5"/>
    <x v="0"/>
    <x v="1"/>
    <x v="0"/>
    <x v="0"/>
    <x v="0"/>
    <n v="0"/>
    <n v="3"/>
    <n v="11"/>
    <x v="1"/>
  </r>
  <r>
    <n v="246"/>
    <n v="1965"/>
    <x v="0"/>
    <s v="Married"/>
    <n v="66480"/>
    <n v="1"/>
    <n v="1"/>
    <d v="2014-05-31T00:00:00"/>
    <n v="71"/>
    <n v="199"/>
    <n v="9"/>
    <n v="57"/>
    <n v="20"/>
    <n v="21"/>
    <n v="6"/>
    <n v="7"/>
    <n v="4"/>
    <n v="1"/>
    <n v="7"/>
    <n v="4"/>
    <x v="0"/>
    <x v="0"/>
    <x v="0"/>
    <x v="0"/>
    <x v="0"/>
    <n v="0"/>
    <n v="3"/>
    <n v="11"/>
    <x v="1"/>
  </r>
  <r>
    <n v="375"/>
    <n v="1954"/>
    <x v="0"/>
    <s v="Divorced"/>
    <n v="76773"/>
    <n v="0"/>
    <n v="0"/>
    <d v="2013-02-25T00:00:00"/>
    <n v="79"/>
    <n v="516"/>
    <n v="56"/>
    <n v="449"/>
    <n v="86"/>
    <n v="33"/>
    <n v="16"/>
    <n v="1"/>
    <n v="2"/>
    <n v="2"/>
    <n v="11"/>
    <n v="1"/>
    <x v="0"/>
    <x v="0"/>
    <x v="0"/>
    <x v="0"/>
    <x v="0"/>
    <n v="0"/>
    <n v="3"/>
    <n v="11"/>
    <x v="1"/>
  </r>
  <r>
    <n v="1524"/>
    <n v="1983"/>
    <x v="4"/>
    <s v="Single"/>
    <n v="81698"/>
    <n v="0"/>
    <n v="0"/>
    <d v="2013-03-01T00:00:00"/>
    <n v="1"/>
    <n v="709"/>
    <n v="45"/>
    <n v="115"/>
    <n v="30"/>
    <n v="160"/>
    <n v="45"/>
    <n v="1"/>
    <n v="8"/>
    <n v="2"/>
    <n v="5"/>
    <n v="5"/>
    <x v="0"/>
    <x v="0"/>
    <x v="0"/>
    <x v="1"/>
    <x v="0"/>
    <n v="0"/>
    <n v="3"/>
    <n v="11"/>
    <x v="0"/>
  </r>
  <r>
    <n v="10022"/>
    <n v="1973"/>
    <x v="1"/>
    <s v="Single"/>
    <n v="54466"/>
    <n v="1"/>
    <n v="1"/>
    <d v="2014-02-09T00:00:00"/>
    <n v="78"/>
    <n v="12"/>
    <n v="0"/>
    <n v="4"/>
    <n v="0"/>
    <n v="0"/>
    <n v="0"/>
    <n v="1"/>
    <n v="1"/>
    <n v="0"/>
    <n v="2"/>
    <n v="5"/>
    <x v="0"/>
    <x v="0"/>
    <x v="0"/>
    <x v="0"/>
    <x v="0"/>
    <n v="0"/>
    <n v="3"/>
    <n v="11"/>
    <x v="1"/>
  </r>
  <r>
    <n v="7451"/>
    <n v="1960"/>
    <x v="2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x v="0"/>
    <x v="1"/>
    <x v="0"/>
    <x v="0"/>
    <x v="0"/>
    <n v="0"/>
    <n v="3"/>
    <n v="11"/>
    <x v="1"/>
  </r>
  <r>
    <n v="11010"/>
    <n v="1984"/>
    <x v="1"/>
    <s v="Single"/>
    <n v="16269"/>
    <n v="1"/>
    <n v="0"/>
    <d v="2013-08-30T00:00:00"/>
    <n v="75"/>
    <n v="19"/>
    <n v="3"/>
    <n v="18"/>
    <n v="3"/>
    <n v="1"/>
    <n v="0"/>
    <n v="3"/>
    <n v="3"/>
    <n v="0"/>
    <n v="3"/>
    <n v="8"/>
    <x v="0"/>
    <x v="0"/>
    <x v="0"/>
    <x v="0"/>
    <x v="0"/>
    <n v="0"/>
    <n v="3"/>
    <n v="11"/>
    <x v="1"/>
  </r>
  <r>
    <n v="4356"/>
    <n v="1971"/>
    <x v="0"/>
    <s v="Together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x v="0"/>
    <x v="1"/>
    <x v="1"/>
    <x v="0"/>
    <x v="0"/>
    <n v="0"/>
    <n v="3"/>
    <n v="11"/>
    <x v="1"/>
  </r>
  <r>
    <n v="3885"/>
    <n v="1983"/>
    <x v="1"/>
    <s v="Married"/>
    <n v="33569"/>
    <n v="1"/>
    <n v="0"/>
    <d v="2013-10-16T00:00:00"/>
    <n v="10"/>
    <n v="16"/>
    <n v="2"/>
    <n v="18"/>
    <n v="3"/>
    <n v="0"/>
    <n v="24"/>
    <n v="1"/>
    <n v="1"/>
    <n v="1"/>
    <n v="2"/>
    <n v="8"/>
    <x v="1"/>
    <x v="0"/>
    <x v="0"/>
    <x v="0"/>
    <x v="0"/>
    <n v="0"/>
    <n v="3"/>
    <n v="11"/>
    <x v="0"/>
  </r>
  <r>
    <n v="1175"/>
    <n v="1983"/>
    <x v="2"/>
    <s v="Married"/>
    <n v="36262"/>
    <n v="0"/>
    <n v="0"/>
    <d v="2013-09-20T00:00:00"/>
    <n v="24"/>
    <n v="88"/>
    <n v="39"/>
    <n v="54"/>
    <n v="64"/>
    <n v="28"/>
    <n v="153"/>
    <n v="1"/>
    <n v="3"/>
    <n v="5"/>
    <n v="3"/>
    <n v="6"/>
    <x v="1"/>
    <x v="0"/>
    <x v="0"/>
    <x v="0"/>
    <x v="0"/>
    <n v="0"/>
    <n v="3"/>
    <n v="11"/>
    <x v="0"/>
  </r>
  <r>
    <n v="880"/>
    <n v="1966"/>
    <x v="3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x v="0"/>
    <x v="0"/>
    <x v="0"/>
    <x v="0"/>
    <x v="0"/>
    <n v="0"/>
    <n v="3"/>
    <n v="11"/>
    <x v="1"/>
  </r>
  <r>
    <n v="2320"/>
    <n v="1978"/>
    <x v="4"/>
    <s v="Married"/>
    <n v="47025"/>
    <n v="0"/>
    <n v="1"/>
    <d v="2013-09-12T00:00:00"/>
    <n v="98"/>
    <n v="508"/>
    <n v="11"/>
    <n v="59"/>
    <n v="23"/>
    <n v="5"/>
    <n v="29"/>
    <n v="5"/>
    <n v="11"/>
    <n v="1"/>
    <n v="6"/>
    <n v="9"/>
    <x v="0"/>
    <x v="0"/>
    <x v="0"/>
    <x v="0"/>
    <x v="0"/>
    <n v="0"/>
    <n v="3"/>
    <n v="11"/>
    <x v="1"/>
  </r>
  <r>
    <n v="850"/>
    <n v="1968"/>
    <x v="0"/>
    <s v="Single"/>
    <n v="70566"/>
    <n v="0"/>
    <n v="1"/>
    <d v="2013-10-06T00:00:00"/>
    <n v="4"/>
    <n v="381"/>
    <n v="28"/>
    <n v="215"/>
    <n v="84"/>
    <n v="28"/>
    <n v="21"/>
    <n v="2"/>
    <n v="6"/>
    <n v="5"/>
    <n v="9"/>
    <n v="3"/>
    <x v="0"/>
    <x v="0"/>
    <x v="0"/>
    <x v="0"/>
    <x v="0"/>
    <n v="0"/>
    <n v="3"/>
    <n v="11"/>
    <x v="1"/>
  </r>
  <r>
    <n v="4713"/>
    <n v="1979"/>
    <x v="1"/>
    <s v="Married"/>
    <n v="31605"/>
    <n v="1"/>
    <n v="0"/>
    <d v="2012-11-22T00:00:00"/>
    <n v="15"/>
    <n v="74"/>
    <n v="0"/>
    <n v="42"/>
    <n v="2"/>
    <n v="1"/>
    <n v="6"/>
    <n v="2"/>
    <n v="2"/>
    <n v="1"/>
    <n v="4"/>
    <n v="7"/>
    <x v="0"/>
    <x v="0"/>
    <x v="0"/>
    <x v="0"/>
    <x v="0"/>
    <n v="0"/>
    <n v="3"/>
    <n v="11"/>
    <x v="1"/>
  </r>
  <r>
    <n v="675"/>
    <n v="1973"/>
    <x v="2"/>
    <s v="Divorced"/>
    <n v="52034"/>
    <n v="1"/>
    <n v="1"/>
    <d v="2013-05-17T00:00:00"/>
    <n v="67"/>
    <n v="146"/>
    <n v="0"/>
    <n v="93"/>
    <n v="7"/>
    <n v="13"/>
    <n v="73"/>
    <n v="5"/>
    <n v="4"/>
    <n v="2"/>
    <n v="5"/>
    <n v="7"/>
    <x v="0"/>
    <x v="0"/>
    <x v="0"/>
    <x v="0"/>
    <x v="0"/>
    <n v="0"/>
    <n v="3"/>
    <n v="11"/>
    <x v="1"/>
  </r>
  <r>
    <n v="5025"/>
    <n v="1979"/>
    <x v="0"/>
    <s v="Single"/>
    <n v="48526"/>
    <n v="1"/>
    <n v="0"/>
    <d v="2013-12-24T00:00:00"/>
    <n v="32"/>
    <n v="23"/>
    <n v="17"/>
    <n v="23"/>
    <n v="43"/>
    <n v="20"/>
    <n v="9"/>
    <n v="1"/>
    <n v="2"/>
    <n v="1"/>
    <n v="4"/>
    <n v="3"/>
    <x v="0"/>
    <x v="0"/>
    <x v="0"/>
    <x v="0"/>
    <x v="0"/>
    <n v="0"/>
    <n v="3"/>
    <n v="11"/>
    <x v="1"/>
  </r>
  <r>
    <n v="2308"/>
    <n v="1954"/>
    <x v="0"/>
    <s v="Married"/>
    <n v="46734"/>
    <n v="0"/>
    <n v="1"/>
    <d v="2012-11-18T00:00:00"/>
    <n v="40"/>
    <n v="110"/>
    <n v="5"/>
    <n v="137"/>
    <n v="26"/>
    <n v="23"/>
    <n v="29"/>
    <n v="2"/>
    <n v="6"/>
    <n v="1"/>
    <n v="5"/>
    <n v="7"/>
    <x v="0"/>
    <x v="0"/>
    <x v="0"/>
    <x v="0"/>
    <x v="0"/>
    <n v="0"/>
    <n v="3"/>
    <n v="11"/>
    <x v="1"/>
  </r>
  <r>
    <n v="5995"/>
    <n v="1962"/>
    <x v="0"/>
    <s v="Divorced"/>
    <n v="39552"/>
    <n v="1"/>
    <n v="1"/>
    <d v="2012-12-18T00:00:00"/>
    <n v="54"/>
    <n v="165"/>
    <n v="3"/>
    <n v="147"/>
    <n v="4"/>
    <n v="24"/>
    <n v="41"/>
    <n v="7"/>
    <n v="6"/>
    <n v="2"/>
    <n v="5"/>
    <n v="8"/>
    <x v="0"/>
    <x v="0"/>
    <x v="0"/>
    <x v="0"/>
    <x v="0"/>
    <n v="0"/>
    <n v="3"/>
    <n v="11"/>
    <x v="0"/>
  </r>
  <r>
    <n v="6749"/>
    <n v="1966"/>
    <x v="0"/>
    <s v="Single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x v="0"/>
    <x v="0"/>
    <x v="0"/>
    <x v="0"/>
    <x v="0"/>
    <n v="0"/>
    <n v="3"/>
    <n v="11"/>
    <x v="1"/>
  </r>
  <r>
    <n v="1010"/>
    <n v="1977"/>
    <x v="0"/>
    <s v="Together"/>
    <n v="46931"/>
    <n v="2"/>
    <n v="1"/>
    <d v="2014-04-24T00:00:00"/>
    <n v="94"/>
    <n v="41"/>
    <n v="0"/>
    <n v="17"/>
    <n v="3"/>
    <n v="1"/>
    <n v="16"/>
    <n v="2"/>
    <n v="1"/>
    <n v="1"/>
    <n v="3"/>
    <n v="3"/>
    <x v="0"/>
    <x v="0"/>
    <x v="0"/>
    <x v="0"/>
    <x v="0"/>
    <n v="0"/>
    <n v="3"/>
    <n v="11"/>
    <x v="1"/>
  </r>
  <r>
    <n v="8977"/>
    <n v="1985"/>
    <x v="3"/>
    <s v="Single"/>
    <n v="16581"/>
    <n v="0"/>
    <n v="0"/>
    <d v="2013-01-12T00:00:00"/>
    <n v="51"/>
    <n v="1"/>
    <n v="3"/>
    <n v="4"/>
    <n v="2"/>
    <n v="3"/>
    <n v="11"/>
    <n v="1"/>
    <n v="0"/>
    <n v="0"/>
    <n v="3"/>
    <n v="4"/>
    <x v="0"/>
    <x v="0"/>
    <x v="0"/>
    <x v="0"/>
    <x v="0"/>
    <n v="0"/>
    <n v="3"/>
    <n v="11"/>
    <x v="1"/>
  </r>
  <r>
    <n v="4756"/>
    <n v="1952"/>
    <x v="4"/>
    <s v="Divorced"/>
    <n v="63998"/>
    <n v="0"/>
    <n v="0"/>
    <d v="2013-12-20T00:00:00"/>
    <n v="42"/>
    <n v="176"/>
    <n v="29"/>
    <n v="818"/>
    <n v="0"/>
    <n v="33"/>
    <n v="112"/>
    <n v="1"/>
    <n v="7"/>
    <n v="6"/>
    <n v="11"/>
    <n v="4"/>
    <x v="0"/>
    <x v="0"/>
    <x v="0"/>
    <x v="0"/>
    <x v="0"/>
    <n v="0"/>
    <n v="3"/>
    <n v="11"/>
    <x v="0"/>
  </r>
  <r>
    <n v="3412"/>
    <n v="1951"/>
    <x v="2"/>
    <s v="Married"/>
    <n v="67381"/>
    <n v="0"/>
    <n v="1"/>
    <d v="2013-01-15T00:00:00"/>
    <n v="67"/>
    <n v="815"/>
    <n v="8"/>
    <n v="53"/>
    <n v="11"/>
    <n v="0"/>
    <n v="70"/>
    <n v="4"/>
    <n v="2"/>
    <n v="2"/>
    <n v="9"/>
    <n v="7"/>
    <x v="0"/>
    <x v="1"/>
    <x v="0"/>
    <x v="0"/>
    <x v="0"/>
    <n v="0"/>
    <n v="3"/>
    <n v="11"/>
    <x v="1"/>
  </r>
  <r>
    <n v="606"/>
    <n v="1967"/>
    <x v="0"/>
    <s v="Single"/>
    <n v="25930"/>
    <n v="1"/>
    <n v="1"/>
    <d v="2013-10-10T00:00:00"/>
    <n v="87"/>
    <n v="6"/>
    <n v="1"/>
    <n v="2"/>
    <n v="2"/>
    <n v="0"/>
    <n v="4"/>
    <n v="1"/>
    <n v="1"/>
    <n v="0"/>
    <n v="2"/>
    <n v="7"/>
    <x v="0"/>
    <x v="0"/>
    <x v="0"/>
    <x v="0"/>
    <x v="0"/>
    <n v="0"/>
    <n v="3"/>
    <n v="11"/>
    <x v="1"/>
  </r>
  <r>
    <n v="5961"/>
    <n v="1978"/>
    <x v="0"/>
    <s v="Married"/>
    <n v="42693"/>
    <n v="1"/>
    <n v="0"/>
    <d v="2014-06-07T00:00:00"/>
    <n v="29"/>
    <n v="8"/>
    <n v="4"/>
    <n v="20"/>
    <n v="6"/>
    <n v="3"/>
    <n v="16"/>
    <n v="1"/>
    <n v="1"/>
    <n v="0"/>
    <n v="3"/>
    <n v="5"/>
    <x v="0"/>
    <x v="0"/>
    <x v="0"/>
    <x v="0"/>
    <x v="0"/>
    <n v="0"/>
    <n v="3"/>
    <n v="11"/>
    <x v="1"/>
  </r>
  <r>
    <n v="2975"/>
    <n v="1976"/>
    <x v="0"/>
    <s v="Together"/>
    <n v="85606"/>
    <n v="0"/>
    <n v="1"/>
    <d v="2012-11-12T00:00:00"/>
    <n v="89"/>
    <n v="717"/>
    <n v="42"/>
    <n v="864"/>
    <n v="219"/>
    <n v="30"/>
    <n v="84"/>
    <n v="2"/>
    <n v="6"/>
    <n v="7"/>
    <n v="9"/>
    <n v="3"/>
    <x v="0"/>
    <x v="0"/>
    <x v="0"/>
    <x v="1"/>
    <x v="0"/>
    <n v="0"/>
    <n v="3"/>
    <n v="11"/>
    <x v="1"/>
  </r>
  <r>
    <n v="2894"/>
    <n v="1985"/>
    <x v="0"/>
    <s v="Single"/>
    <n v="72903"/>
    <n v="0"/>
    <n v="0"/>
    <d v="2013-10-29T00:00:00"/>
    <n v="74"/>
    <n v="1067"/>
    <n v="138"/>
    <n v="750"/>
    <n v="0"/>
    <n v="19"/>
    <n v="39"/>
    <n v="1"/>
    <n v="7"/>
    <n v="5"/>
    <n v="8"/>
    <n v="4"/>
    <x v="0"/>
    <x v="1"/>
    <x v="1"/>
    <x v="1"/>
    <x v="0"/>
    <n v="0"/>
    <n v="3"/>
    <n v="11"/>
    <x v="0"/>
  </r>
  <r>
    <n v="7613"/>
    <n v="1974"/>
    <x v="4"/>
    <s v="Together"/>
    <n v="49669"/>
    <n v="1"/>
    <n v="0"/>
    <d v="2014-05-24T00:00:00"/>
    <n v="97"/>
    <n v="166"/>
    <n v="5"/>
    <n v="107"/>
    <n v="11"/>
    <n v="8"/>
    <n v="29"/>
    <n v="2"/>
    <n v="5"/>
    <n v="1"/>
    <n v="6"/>
    <n v="6"/>
    <x v="0"/>
    <x v="0"/>
    <x v="0"/>
    <x v="0"/>
    <x v="0"/>
    <n v="0"/>
    <n v="3"/>
    <n v="11"/>
    <x v="1"/>
  </r>
  <r>
    <n v="10542"/>
    <n v="1968"/>
    <x v="1"/>
    <s v="Married"/>
    <n v="36778"/>
    <n v="1"/>
    <n v="1"/>
    <d v="2012-08-05T00:00:00"/>
    <n v="63"/>
    <n v="29"/>
    <n v="4"/>
    <n v="34"/>
    <n v="2"/>
    <n v="4"/>
    <n v="4"/>
    <n v="3"/>
    <n v="3"/>
    <n v="0"/>
    <n v="3"/>
    <n v="9"/>
    <x v="0"/>
    <x v="0"/>
    <x v="0"/>
    <x v="0"/>
    <x v="0"/>
    <n v="0"/>
    <n v="3"/>
    <n v="11"/>
    <x v="1"/>
  </r>
  <r>
    <n v="8015"/>
    <n v="1962"/>
    <x v="1"/>
    <s v="Divorced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x v="0"/>
    <x v="0"/>
    <x v="0"/>
    <x v="0"/>
    <x v="0"/>
    <n v="0"/>
    <n v="3"/>
    <n v="11"/>
    <x v="0"/>
  </r>
  <r>
    <n v="10617"/>
    <n v="1989"/>
    <x v="2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x v="0"/>
    <x v="0"/>
    <x v="0"/>
    <x v="0"/>
    <x v="0"/>
    <n v="0"/>
    <n v="3"/>
    <n v="11"/>
    <x v="1"/>
  </r>
  <r>
    <n v="11166"/>
    <n v="1961"/>
    <x v="0"/>
    <s v="Married"/>
    <n v="49678"/>
    <n v="0"/>
    <n v="1"/>
    <d v="2013-02-02T00:00:00"/>
    <n v="81"/>
    <n v="229"/>
    <n v="5"/>
    <n v="56"/>
    <n v="3"/>
    <n v="2"/>
    <n v="20"/>
    <n v="2"/>
    <n v="6"/>
    <n v="2"/>
    <n v="4"/>
    <n v="7"/>
    <x v="0"/>
    <x v="0"/>
    <x v="0"/>
    <x v="0"/>
    <x v="0"/>
    <n v="0"/>
    <n v="3"/>
    <n v="11"/>
    <x v="1"/>
  </r>
  <r>
    <n v="849"/>
    <n v="1953"/>
    <x v="2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x v="0"/>
    <x v="0"/>
    <x v="0"/>
    <x v="0"/>
    <x v="0"/>
    <n v="0"/>
    <n v="3"/>
    <n v="11"/>
    <x v="1"/>
  </r>
  <r>
    <n v="523"/>
    <n v="1989"/>
    <x v="0"/>
    <s v="Married"/>
    <n v="37155"/>
    <n v="1"/>
    <n v="0"/>
    <d v="2013-01-31T00:00:00"/>
    <n v="51"/>
    <n v="23"/>
    <n v="0"/>
    <n v="26"/>
    <n v="7"/>
    <n v="15"/>
    <n v="3"/>
    <n v="1"/>
    <n v="2"/>
    <n v="0"/>
    <n v="4"/>
    <n v="5"/>
    <x v="0"/>
    <x v="0"/>
    <x v="0"/>
    <x v="0"/>
    <x v="0"/>
    <n v="0"/>
    <n v="3"/>
    <n v="11"/>
    <x v="1"/>
  </r>
  <r>
    <n v="4066"/>
    <n v="1978"/>
    <x v="4"/>
    <s v="Divorced"/>
    <n v="21282"/>
    <n v="1"/>
    <n v="0"/>
    <d v="2014-05-11T00:00:00"/>
    <n v="76"/>
    <n v="1"/>
    <n v="5"/>
    <n v="8"/>
    <n v="4"/>
    <n v="8"/>
    <n v="20"/>
    <n v="2"/>
    <n v="2"/>
    <n v="1"/>
    <n v="2"/>
    <n v="6"/>
    <x v="0"/>
    <x v="0"/>
    <x v="0"/>
    <x v="0"/>
    <x v="0"/>
    <n v="0"/>
    <n v="3"/>
    <n v="11"/>
    <x v="1"/>
  </r>
  <r>
    <n v="8414"/>
    <n v="1962"/>
    <x v="1"/>
    <s v="Single"/>
    <n v="33419"/>
    <n v="0"/>
    <n v="1"/>
    <d v="2013-08-17T00:00:00"/>
    <n v="76"/>
    <n v="56"/>
    <n v="0"/>
    <n v="12"/>
    <n v="0"/>
    <n v="0"/>
    <n v="18"/>
    <n v="2"/>
    <n v="2"/>
    <n v="0"/>
    <n v="4"/>
    <n v="7"/>
    <x v="0"/>
    <x v="0"/>
    <x v="0"/>
    <x v="0"/>
    <x v="0"/>
    <n v="0"/>
    <n v="3"/>
    <n v="11"/>
    <x v="1"/>
  </r>
  <r>
    <n v="819"/>
    <n v="1945"/>
    <x v="0"/>
    <s v="Widow"/>
    <n v="63285"/>
    <n v="0"/>
    <n v="0"/>
    <d v="2013-11-05T00:00:00"/>
    <n v="84"/>
    <n v="508"/>
    <n v="124"/>
    <n v="249"/>
    <n v="50"/>
    <n v="38"/>
    <n v="134"/>
    <n v="1"/>
    <n v="6"/>
    <n v="5"/>
    <n v="13"/>
    <n v="3"/>
    <x v="0"/>
    <x v="0"/>
    <x v="0"/>
    <x v="0"/>
    <x v="0"/>
    <n v="0"/>
    <n v="3"/>
    <n v="11"/>
    <x v="1"/>
  </r>
  <r>
    <n v="4961"/>
    <n v="1974"/>
    <x v="2"/>
    <s v="Together"/>
    <n v="21255"/>
    <n v="1"/>
    <n v="0"/>
    <d v="2014-01-21T00:00:00"/>
    <n v="56"/>
    <n v="29"/>
    <n v="0"/>
    <n v="25"/>
    <n v="2"/>
    <n v="2"/>
    <n v="3"/>
    <n v="4"/>
    <n v="2"/>
    <n v="1"/>
    <n v="4"/>
    <n v="4"/>
    <x v="0"/>
    <x v="0"/>
    <x v="0"/>
    <x v="0"/>
    <x v="0"/>
    <n v="0"/>
    <n v="3"/>
    <n v="11"/>
    <x v="1"/>
  </r>
  <r>
    <n v="749"/>
    <n v="1981"/>
    <x v="0"/>
    <s v="Together"/>
    <n v="42162"/>
    <n v="1"/>
    <n v="0"/>
    <d v="2013-11-19T00:00:00"/>
    <n v="31"/>
    <n v="46"/>
    <n v="7"/>
    <n v="59"/>
    <n v="2"/>
    <n v="4"/>
    <n v="27"/>
    <n v="2"/>
    <n v="3"/>
    <n v="1"/>
    <n v="3"/>
    <n v="6"/>
    <x v="1"/>
    <x v="0"/>
    <x v="0"/>
    <x v="0"/>
    <x v="0"/>
    <n v="0"/>
    <n v="3"/>
    <n v="11"/>
    <x v="0"/>
  </r>
  <r>
    <n v="5430"/>
    <n v="1956"/>
    <x v="0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x v="0"/>
    <x v="0"/>
    <x v="0"/>
    <x v="0"/>
    <x v="0"/>
    <n v="0"/>
    <n v="3"/>
    <n v="11"/>
    <x v="1"/>
  </r>
  <r>
    <n v="7755"/>
    <n v="1954"/>
    <x v="1"/>
    <s v="Married"/>
    <n v="57744"/>
    <n v="0"/>
    <n v="1"/>
    <d v="2013-11-12T00:00:00"/>
    <n v="91"/>
    <n v="350"/>
    <n v="3"/>
    <n v="39"/>
    <n v="0"/>
    <n v="0"/>
    <n v="19"/>
    <n v="2"/>
    <n v="9"/>
    <n v="1"/>
    <n v="4"/>
    <n v="8"/>
    <x v="0"/>
    <x v="0"/>
    <x v="0"/>
    <x v="0"/>
    <x v="0"/>
    <n v="0"/>
    <n v="3"/>
    <n v="11"/>
    <x v="1"/>
  </r>
  <r>
    <n v="10525"/>
    <n v="1986"/>
    <x v="0"/>
    <s v="Single"/>
    <n v="26576"/>
    <n v="1"/>
    <n v="0"/>
    <d v="2012-10-13T00:00:00"/>
    <n v="40"/>
    <n v="10"/>
    <n v="0"/>
    <n v="8"/>
    <n v="0"/>
    <n v="0"/>
    <n v="9"/>
    <n v="1"/>
    <n v="1"/>
    <n v="0"/>
    <n v="2"/>
    <n v="9"/>
    <x v="1"/>
    <x v="0"/>
    <x v="0"/>
    <x v="0"/>
    <x v="0"/>
    <n v="0"/>
    <n v="3"/>
    <n v="11"/>
    <x v="0"/>
  </r>
  <r>
    <n v="1453"/>
    <n v="1943"/>
    <x v="1"/>
    <s v="Widow"/>
    <n v="57513"/>
    <n v="0"/>
    <n v="0"/>
    <d v="2013-07-06T00:00:00"/>
    <n v="59"/>
    <n v="735"/>
    <n v="40"/>
    <n v="183"/>
    <n v="52"/>
    <n v="20"/>
    <n v="30"/>
    <n v="2"/>
    <n v="9"/>
    <n v="3"/>
    <n v="13"/>
    <n v="6"/>
    <x v="0"/>
    <x v="0"/>
    <x v="0"/>
    <x v="0"/>
    <x v="0"/>
    <n v="0"/>
    <n v="3"/>
    <n v="11"/>
    <x v="1"/>
  </r>
  <r>
    <n v="8310"/>
    <n v="1964"/>
    <x v="0"/>
    <s v="Together"/>
    <n v="68142"/>
    <n v="0"/>
    <n v="1"/>
    <d v="2012-08-29T00:00:00"/>
    <n v="96"/>
    <n v="897"/>
    <n v="126"/>
    <n v="196"/>
    <n v="91"/>
    <n v="112"/>
    <n v="37"/>
    <n v="3"/>
    <n v="10"/>
    <n v="4"/>
    <n v="7"/>
    <n v="6"/>
    <x v="0"/>
    <x v="0"/>
    <x v="0"/>
    <x v="0"/>
    <x v="0"/>
    <n v="0"/>
    <n v="3"/>
    <n v="11"/>
    <x v="1"/>
  </r>
  <r>
    <n v="10710"/>
    <n v="1979"/>
    <x v="0"/>
    <s v="Married"/>
    <n v="7500"/>
    <n v="0"/>
    <n v="1"/>
    <d v="2012-08-29T00:00:00"/>
    <n v="61"/>
    <n v="5"/>
    <n v="2"/>
    <n v="3"/>
    <n v="3"/>
    <n v="0"/>
    <n v="5"/>
    <n v="1"/>
    <n v="1"/>
    <n v="0"/>
    <n v="2"/>
    <n v="8"/>
    <x v="0"/>
    <x v="0"/>
    <x v="0"/>
    <x v="0"/>
    <x v="0"/>
    <n v="0"/>
    <n v="3"/>
    <n v="11"/>
    <x v="1"/>
  </r>
  <r>
    <n v="5031"/>
    <n v="1974"/>
    <x v="0"/>
    <s v="Together"/>
    <n v="83145"/>
    <n v="0"/>
    <n v="0"/>
    <d v="2012-09-22T00:00:00"/>
    <n v="14"/>
    <n v="777"/>
    <n v="35"/>
    <n v="731"/>
    <n v="39"/>
    <n v="137"/>
    <n v="114"/>
    <n v="1"/>
    <n v="5"/>
    <n v="9"/>
    <n v="11"/>
    <n v="2"/>
    <x v="0"/>
    <x v="0"/>
    <x v="1"/>
    <x v="0"/>
    <x v="0"/>
    <n v="0"/>
    <n v="3"/>
    <n v="11"/>
    <x v="0"/>
  </r>
  <r>
    <n v="2613"/>
    <n v="1960"/>
    <x v="2"/>
    <s v="Married"/>
    <n v="54197"/>
    <n v="0"/>
    <n v="1"/>
    <d v="2014-04-03T00:00:00"/>
    <n v="16"/>
    <n v="162"/>
    <n v="6"/>
    <n v="37"/>
    <n v="6"/>
    <n v="13"/>
    <n v="13"/>
    <n v="2"/>
    <n v="1"/>
    <n v="3"/>
    <n v="6"/>
    <n v="1"/>
    <x v="0"/>
    <x v="0"/>
    <x v="0"/>
    <x v="0"/>
    <x v="0"/>
    <n v="0"/>
    <n v="3"/>
    <n v="11"/>
    <x v="1"/>
  </r>
  <r>
    <n v="213"/>
    <n v="1963"/>
    <x v="1"/>
    <s v="Single"/>
    <n v="23091"/>
    <n v="1"/>
    <n v="1"/>
    <d v="2014-05-28T00:00:00"/>
    <n v="98"/>
    <n v="35"/>
    <n v="0"/>
    <n v="11"/>
    <n v="0"/>
    <n v="0"/>
    <n v="2"/>
    <n v="4"/>
    <n v="2"/>
    <n v="1"/>
    <n v="3"/>
    <n v="7"/>
    <x v="0"/>
    <x v="0"/>
    <x v="0"/>
    <x v="0"/>
    <x v="0"/>
    <n v="0"/>
    <n v="3"/>
    <n v="11"/>
    <x v="1"/>
  </r>
  <r>
    <n v="967"/>
    <n v="1976"/>
    <x v="0"/>
    <s v="Married"/>
    <n v="46049"/>
    <n v="1"/>
    <n v="1"/>
    <d v="2013-07-21T00:00:00"/>
    <n v="11"/>
    <n v="342"/>
    <n v="9"/>
    <n v="112"/>
    <n v="19"/>
    <n v="14"/>
    <n v="19"/>
    <n v="10"/>
    <n v="5"/>
    <n v="2"/>
    <n v="9"/>
    <n v="7"/>
    <x v="0"/>
    <x v="0"/>
    <x v="0"/>
    <x v="0"/>
    <x v="0"/>
    <n v="0"/>
    <n v="3"/>
    <n v="11"/>
    <x v="0"/>
  </r>
  <r>
    <n v="1077"/>
    <n v="1974"/>
    <x v="0"/>
    <s v="Together"/>
    <n v="56715"/>
    <n v="0"/>
    <n v="0"/>
    <d v="2012-12-05T00:00:00"/>
    <n v="52"/>
    <n v="258"/>
    <n v="105"/>
    <n v="239"/>
    <n v="237"/>
    <n v="172"/>
    <n v="9"/>
    <n v="1"/>
    <n v="7"/>
    <n v="3"/>
    <n v="4"/>
    <n v="4"/>
    <x v="0"/>
    <x v="0"/>
    <x v="0"/>
    <x v="0"/>
    <x v="0"/>
    <n v="0"/>
    <n v="3"/>
    <n v="11"/>
    <x v="1"/>
  </r>
  <r>
    <n v="7959"/>
    <n v="1961"/>
    <x v="0"/>
    <s v="Married"/>
    <n v="79410"/>
    <n v="0"/>
    <n v="0"/>
    <d v="2014-05-29T00:00:00"/>
    <n v="19"/>
    <n v="658"/>
    <n v="80"/>
    <n v="483"/>
    <n v="123"/>
    <n v="13"/>
    <n v="13"/>
    <n v="1"/>
    <n v="3"/>
    <n v="2"/>
    <n v="5"/>
    <n v="1"/>
    <x v="0"/>
    <x v="0"/>
    <x v="0"/>
    <x v="0"/>
    <x v="0"/>
    <n v="0"/>
    <n v="3"/>
    <n v="11"/>
    <x v="1"/>
  </r>
  <r>
    <n v="640"/>
    <n v="1951"/>
    <x v="0"/>
    <s v="Married"/>
    <n v="57304"/>
    <n v="0"/>
    <n v="1"/>
    <d v="2013-03-11T00:00:00"/>
    <n v="61"/>
    <n v="356"/>
    <n v="80"/>
    <n v="329"/>
    <n v="138"/>
    <n v="17"/>
    <n v="106"/>
    <n v="2"/>
    <n v="7"/>
    <n v="6"/>
    <n v="10"/>
    <n v="5"/>
    <x v="0"/>
    <x v="0"/>
    <x v="0"/>
    <x v="0"/>
    <x v="0"/>
    <n v="0"/>
    <n v="3"/>
    <n v="11"/>
    <x v="1"/>
  </r>
  <r>
    <n v="4252"/>
    <n v="1965"/>
    <x v="0"/>
    <s v="Married"/>
    <n v="44375"/>
    <n v="0"/>
    <n v="1"/>
    <d v="2014-03-23T00:00:00"/>
    <n v="73"/>
    <n v="213"/>
    <n v="5"/>
    <n v="28"/>
    <n v="7"/>
    <n v="7"/>
    <n v="41"/>
    <n v="1"/>
    <n v="4"/>
    <n v="1"/>
    <n v="6"/>
    <n v="5"/>
    <x v="0"/>
    <x v="0"/>
    <x v="0"/>
    <x v="0"/>
    <x v="0"/>
    <n v="0"/>
    <n v="3"/>
    <n v="11"/>
    <x v="1"/>
  </r>
  <r>
    <n v="8432"/>
    <n v="1956"/>
    <x v="0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x v="0"/>
    <x v="0"/>
    <x v="0"/>
    <x v="0"/>
    <x v="0"/>
    <n v="0"/>
    <n v="3"/>
    <n v="11"/>
    <x v="1"/>
  </r>
  <r>
    <n v="6218"/>
    <n v="1965"/>
    <x v="0"/>
    <s v="Married"/>
    <n v="59594"/>
    <n v="0"/>
    <n v="1"/>
    <d v="2012-10-20T00:00:00"/>
    <n v="74"/>
    <n v="457"/>
    <n v="4"/>
    <n v="29"/>
    <n v="0"/>
    <n v="0"/>
    <n v="9"/>
    <n v="1"/>
    <n v="8"/>
    <n v="1"/>
    <n v="7"/>
    <n v="7"/>
    <x v="0"/>
    <x v="1"/>
    <x v="0"/>
    <x v="0"/>
    <x v="0"/>
    <n v="0"/>
    <n v="3"/>
    <n v="11"/>
    <x v="1"/>
  </r>
  <r>
    <n v="6905"/>
    <n v="1994"/>
    <x v="0"/>
    <s v="Together"/>
    <n v="80685"/>
    <n v="0"/>
    <n v="0"/>
    <d v="2012-08-22T00:00:00"/>
    <n v="55"/>
    <n v="241"/>
    <n v="45"/>
    <n v="604"/>
    <n v="34"/>
    <n v="26"/>
    <n v="54"/>
    <n v="1"/>
    <n v="6"/>
    <n v="4"/>
    <n v="10"/>
    <n v="2"/>
    <x v="0"/>
    <x v="0"/>
    <x v="0"/>
    <x v="0"/>
    <x v="0"/>
    <n v="0"/>
    <n v="3"/>
    <n v="11"/>
    <x v="1"/>
  </r>
  <r>
    <n v="5922"/>
    <n v="1974"/>
    <x v="1"/>
    <s v="Married"/>
    <n v="40344"/>
    <n v="0"/>
    <n v="1"/>
    <d v="2013-10-13T00:00:00"/>
    <n v="48"/>
    <n v="210"/>
    <n v="0"/>
    <n v="6"/>
    <n v="0"/>
    <n v="0"/>
    <n v="2"/>
    <n v="2"/>
    <n v="4"/>
    <n v="1"/>
    <n v="5"/>
    <n v="7"/>
    <x v="0"/>
    <x v="0"/>
    <x v="0"/>
    <x v="0"/>
    <x v="0"/>
    <n v="0"/>
    <n v="3"/>
    <n v="11"/>
    <x v="1"/>
  </r>
  <r>
    <n v="3598"/>
    <n v="1972"/>
    <x v="0"/>
    <s v="Married"/>
    <n v="62710"/>
    <n v="0"/>
    <n v="1"/>
    <d v="2013-05-23T00:00:00"/>
    <n v="53"/>
    <n v="441"/>
    <n v="35"/>
    <n v="83"/>
    <n v="7"/>
    <n v="29"/>
    <n v="11"/>
    <n v="4"/>
    <n v="4"/>
    <n v="2"/>
    <n v="12"/>
    <n v="4"/>
    <x v="0"/>
    <x v="0"/>
    <x v="0"/>
    <x v="0"/>
    <x v="0"/>
    <n v="0"/>
    <n v="3"/>
    <n v="11"/>
    <x v="1"/>
  </r>
  <r>
    <n v="6116"/>
    <n v="1968"/>
    <x v="4"/>
    <s v="Married"/>
    <n v="48985"/>
    <n v="0"/>
    <n v="1"/>
    <d v="2013-07-05T00:00:00"/>
    <n v="13"/>
    <n v="19"/>
    <n v="13"/>
    <n v="18"/>
    <n v="10"/>
    <n v="7"/>
    <n v="8"/>
    <n v="1"/>
    <n v="1"/>
    <n v="1"/>
    <n v="3"/>
    <n v="3"/>
    <x v="0"/>
    <x v="0"/>
    <x v="0"/>
    <x v="0"/>
    <x v="0"/>
    <n v="0"/>
    <n v="3"/>
    <n v="11"/>
    <x v="1"/>
  </r>
  <r>
    <n v="6263"/>
    <n v="1968"/>
    <x v="0"/>
    <s v="Together"/>
    <n v="35322"/>
    <n v="1"/>
    <n v="2"/>
    <d v="2012-08-22T00:00:00"/>
    <n v="34"/>
    <n v="28"/>
    <n v="9"/>
    <n v="37"/>
    <n v="12"/>
    <n v="7"/>
    <n v="13"/>
    <n v="3"/>
    <n v="2"/>
    <n v="0"/>
    <n v="4"/>
    <n v="8"/>
    <x v="0"/>
    <x v="0"/>
    <x v="0"/>
    <x v="0"/>
    <x v="0"/>
    <n v="0"/>
    <n v="3"/>
    <n v="11"/>
    <x v="1"/>
  </r>
  <r>
    <n v="10486"/>
    <n v="1948"/>
    <x v="0"/>
    <s v="Married"/>
    <n v="77142"/>
    <n v="0"/>
    <n v="0"/>
    <d v="2013-05-29T00:00:00"/>
    <n v="54"/>
    <n v="476"/>
    <n v="75"/>
    <n v="162"/>
    <n v="29"/>
    <n v="151"/>
    <n v="97"/>
    <n v="1"/>
    <n v="4"/>
    <n v="4"/>
    <n v="8"/>
    <n v="2"/>
    <x v="0"/>
    <x v="0"/>
    <x v="0"/>
    <x v="0"/>
    <x v="0"/>
    <n v="0"/>
    <n v="3"/>
    <n v="11"/>
    <x v="1"/>
  </r>
  <r>
    <n v="2410"/>
    <n v="1969"/>
    <x v="0"/>
    <s v="Single"/>
    <n v="81657"/>
    <n v="0"/>
    <n v="0"/>
    <d v="2014-01-22T00:00:00"/>
    <n v="69"/>
    <n v="364"/>
    <n v="40"/>
    <n v="425"/>
    <n v="158"/>
    <n v="60"/>
    <n v="50"/>
    <n v="1"/>
    <n v="3"/>
    <n v="4"/>
    <n v="8"/>
    <n v="1"/>
    <x v="0"/>
    <x v="0"/>
    <x v="0"/>
    <x v="0"/>
    <x v="0"/>
    <n v="0"/>
    <n v="3"/>
    <n v="11"/>
    <x v="1"/>
  </r>
  <r>
    <n v="193"/>
    <n v="1996"/>
    <x v="3"/>
    <s v="Married"/>
    <n v="14421"/>
    <n v="0"/>
    <n v="0"/>
    <d v="2014-02-17T00:00:00"/>
    <n v="81"/>
    <n v="0"/>
    <n v="0"/>
    <n v="2"/>
    <n v="3"/>
    <n v="3"/>
    <n v="8"/>
    <n v="1"/>
    <n v="1"/>
    <n v="0"/>
    <n v="2"/>
    <n v="5"/>
    <x v="1"/>
    <x v="0"/>
    <x v="0"/>
    <x v="0"/>
    <x v="0"/>
    <n v="0"/>
    <n v="3"/>
    <n v="11"/>
    <x v="1"/>
  </r>
  <r>
    <n v="3363"/>
    <n v="1974"/>
    <x v="4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x v="0"/>
    <x v="0"/>
    <x v="0"/>
    <x v="0"/>
    <x v="0"/>
    <n v="0"/>
    <n v="3"/>
    <n v="11"/>
    <x v="1"/>
  </r>
  <r>
    <n v="8278"/>
    <n v="1990"/>
    <x v="1"/>
    <s v="Married"/>
    <n v="74214"/>
    <n v="0"/>
    <n v="0"/>
    <d v="2012-08-26T00:00:00"/>
    <n v="3"/>
    <n v="863"/>
    <n v="83"/>
    <n v="547"/>
    <n v="86"/>
    <n v="99"/>
    <n v="33"/>
    <n v="1"/>
    <n v="8"/>
    <n v="2"/>
    <n v="5"/>
    <n v="5"/>
    <x v="0"/>
    <x v="0"/>
    <x v="0"/>
    <x v="0"/>
    <x v="0"/>
    <n v="0"/>
    <n v="3"/>
    <n v="11"/>
    <x v="1"/>
  </r>
  <r>
    <n v="10660"/>
    <n v="1957"/>
    <x v="2"/>
    <s v="Married"/>
    <n v="66726"/>
    <n v="1"/>
    <n v="1"/>
    <d v="2014-01-12T00:00:00"/>
    <n v="61"/>
    <n v="349"/>
    <n v="7"/>
    <n v="35"/>
    <n v="0"/>
    <n v="0"/>
    <n v="47"/>
    <n v="3"/>
    <n v="8"/>
    <n v="2"/>
    <n v="4"/>
    <n v="7"/>
    <x v="0"/>
    <x v="1"/>
    <x v="0"/>
    <x v="0"/>
    <x v="0"/>
    <n v="0"/>
    <n v="3"/>
    <n v="11"/>
    <x v="1"/>
  </r>
  <r>
    <n v="8686"/>
    <n v="1979"/>
    <x v="3"/>
    <s v="Together"/>
    <n v="23724"/>
    <n v="1"/>
    <n v="0"/>
    <d v="2013-01-08T00:00:00"/>
    <n v="65"/>
    <n v="5"/>
    <n v="23"/>
    <n v="15"/>
    <n v="0"/>
    <n v="18"/>
    <n v="14"/>
    <n v="2"/>
    <n v="2"/>
    <n v="0"/>
    <n v="3"/>
    <n v="8"/>
    <x v="0"/>
    <x v="0"/>
    <x v="0"/>
    <x v="0"/>
    <x v="0"/>
    <n v="0"/>
    <n v="3"/>
    <n v="11"/>
    <x v="1"/>
  </r>
  <r>
    <n v="1604"/>
    <n v="1960"/>
    <x v="2"/>
    <s v="Married"/>
    <n v="47353"/>
    <n v="0"/>
    <n v="1"/>
    <d v="2013-11-13T00:00:00"/>
    <n v="93"/>
    <n v="184"/>
    <n v="2"/>
    <n v="19"/>
    <n v="8"/>
    <n v="8"/>
    <n v="4"/>
    <n v="3"/>
    <n v="2"/>
    <n v="2"/>
    <n v="6"/>
    <n v="5"/>
    <x v="0"/>
    <x v="0"/>
    <x v="0"/>
    <x v="0"/>
    <x v="0"/>
    <n v="0"/>
    <n v="3"/>
    <n v="11"/>
    <x v="1"/>
  </r>
  <r>
    <n v="5907"/>
    <n v="1952"/>
    <x v="2"/>
    <s v="Married"/>
    <n v="33444"/>
    <n v="1"/>
    <n v="1"/>
    <d v="2012-11-03T00:00:00"/>
    <n v="24"/>
    <n v="8"/>
    <n v="0"/>
    <n v="8"/>
    <n v="0"/>
    <n v="0"/>
    <n v="2"/>
    <n v="1"/>
    <n v="1"/>
    <n v="0"/>
    <n v="2"/>
    <n v="8"/>
    <x v="0"/>
    <x v="0"/>
    <x v="0"/>
    <x v="0"/>
    <x v="0"/>
    <n v="0"/>
    <n v="3"/>
    <n v="11"/>
    <x v="1"/>
  </r>
  <r>
    <n v="10669"/>
    <n v="1981"/>
    <x v="0"/>
    <s v="Married"/>
    <n v="54386"/>
    <n v="0"/>
    <n v="1"/>
    <d v="2013-05-17T00:00:00"/>
    <n v="8"/>
    <n v="277"/>
    <n v="21"/>
    <n v="64"/>
    <n v="62"/>
    <n v="21"/>
    <n v="25"/>
    <n v="2"/>
    <n v="3"/>
    <n v="2"/>
    <n v="10"/>
    <n v="3"/>
    <x v="0"/>
    <x v="0"/>
    <x v="0"/>
    <x v="0"/>
    <x v="0"/>
    <n v="0"/>
    <n v="3"/>
    <n v="11"/>
    <x v="1"/>
  </r>
  <r>
    <n v="2918"/>
    <n v="1981"/>
    <x v="0"/>
    <s v="Divorced"/>
    <n v="28510"/>
    <n v="1"/>
    <n v="1"/>
    <d v="2013-04-13T00:00:00"/>
    <n v="72"/>
    <n v="44"/>
    <n v="5"/>
    <n v="19"/>
    <n v="0"/>
    <n v="4"/>
    <n v="19"/>
    <n v="3"/>
    <n v="2"/>
    <n v="0"/>
    <n v="4"/>
    <n v="5"/>
    <x v="0"/>
    <x v="0"/>
    <x v="0"/>
    <x v="0"/>
    <x v="0"/>
    <n v="0"/>
    <n v="3"/>
    <n v="11"/>
    <x v="1"/>
  </r>
  <r>
    <n v="5735"/>
    <n v="1991"/>
    <x v="2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x v="0"/>
    <x v="0"/>
    <x v="1"/>
    <x v="0"/>
    <x v="0"/>
    <n v="0"/>
    <n v="3"/>
    <n v="11"/>
    <x v="1"/>
  </r>
  <r>
    <n v="359"/>
    <n v="1950"/>
    <x v="0"/>
    <s v="Together"/>
    <n v="48070"/>
    <n v="0"/>
    <n v="1"/>
    <d v="2013-01-13T00:00:00"/>
    <n v="33"/>
    <n v="373"/>
    <n v="14"/>
    <n v="83"/>
    <n v="6"/>
    <n v="9"/>
    <n v="19"/>
    <n v="3"/>
    <n v="8"/>
    <n v="2"/>
    <n v="6"/>
    <n v="7"/>
    <x v="0"/>
    <x v="0"/>
    <x v="0"/>
    <x v="0"/>
    <x v="0"/>
    <n v="1"/>
    <n v="3"/>
    <n v="11"/>
    <x v="1"/>
  </r>
  <r>
    <n v="8387"/>
    <n v="1957"/>
    <x v="0"/>
    <s v="Married"/>
    <n v="43140"/>
    <n v="0"/>
    <n v="1"/>
    <d v="2013-01-05T00:00:00"/>
    <n v="68"/>
    <n v="134"/>
    <n v="8"/>
    <n v="76"/>
    <n v="6"/>
    <n v="0"/>
    <n v="11"/>
    <n v="1"/>
    <n v="4"/>
    <n v="1"/>
    <n v="5"/>
    <n v="6"/>
    <x v="0"/>
    <x v="0"/>
    <x v="0"/>
    <x v="0"/>
    <x v="0"/>
    <n v="0"/>
    <n v="3"/>
    <n v="11"/>
    <x v="1"/>
  </r>
  <r>
    <n v="1829"/>
    <n v="1961"/>
    <x v="1"/>
    <s v="Divorced"/>
    <n v="54959"/>
    <n v="0"/>
    <n v="1"/>
    <d v="2013-01-19T00:00:00"/>
    <n v="55"/>
    <n v="1148"/>
    <n v="0"/>
    <n v="60"/>
    <n v="0"/>
    <n v="0"/>
    <n v="24"/>
    <n v="3"/>
    <n v="9"/>
    <n v="5"/>
    <n v="4"/>
    <n v="7"/>
    <x v="0"/>
    <x v="1"/>
    <x v="0"/>
    <x v="0"/>
    <x v="0"/>
    <n v="0"/>
    <n v="3"/>
    <n v="11"/>
    <x v="0"/>
  </r>
  <r>
    <n v="3839"/>
    <n v="1958"/>
    <x v="3"/>
    <s v="Single"/>
    <n v="15056"/>
    <n v="1"/>
    <n v="1"/>
    <d v="2013-05-03T00:00:00"/>
    <n v="76"/>
    <n v="6"/>
    <n v="12"/>
    <n v="3"/>
    <n v="21"/>
    <n v="6"/>
    <n v="40"/>
    <n v="5"/>
    <n v="2"/>
    <n v="2"/>
    <n v="3"/>
    <n v="5"/>
    <x v="0"/>
    <x v="0"/>
    <x v="0"/>
    <x v="0"/>
    <x v="0"/>
    <n v="0"/>
    <n v="3"/>
    <n v="11"/>
    <x v="1"/>
  </r>
  <r>
    <n v="9392"/>
    <n v="1971"/>
    <x v="0"/>
    <s v="Single"/>
    <n v="26954"/>
    <n v="1"/>
    <n v="0"/>
    <d v="2014-05-08T00:00:00"/>
    <n v="17"/>
    <n v="4"/>
    <n v="1"/>
    <n v="11"/>
    <n v="0"/>
    <n v="0"/>
    <n v="1"/>
    <n v="1"/>
    <n v="1"/>
    <n v="0"/>
    <n v="2"/>
    <n v="7"/>
    <x v="0"/>
    <x v="0"/>
    <x v="0"/>
    <x v="0"/>
    <x v="0"/>
    <n v="0"/>
    <n v="3"/>
    <n v="11"/>
    <x v="1"/>
  </r>
  <r>
    <n v="2292"/>
    <n v="1985"/>
    <x v="0"/>
    <s v="Single"/>
    <n v="22327"/>
    <n v="1"/>
    <n v="0"/>
    <d v="2013-08-02T00:00:00"/>
    <n v="94"/>
    <n v="5"/>
    <n v="4"/>
    <n v="8"/>
    <n v="2"/>
    <n v="0"/>
    <n v="5"/>
    <n v="1"/>
    <n v="1"/>
    <n v="0"/>
    <n v="3"/>
    <n v="5"/>
    <x v="0"/>
    <x v="0"/>
    <x v="0"/>
    <x v="0"/>
    <x v="0"/>
    <n v="0"/>
    <n v="3"/>
    <n v="11"/>
    <x v="1"/>
  </r>
  <r>
    <n v="10466"/>
    <n v="1965"/>
    <x v="0"/>
    <s v="Married"/>
    <n v="44393"/>
    <n v="1"/>
    <n v="1"/>
    <d v="2013-08-22T00:00:00"/>
    <n v="86"/>
    <n v="24"/>
    <n v="2"/>
    <n v="20"/>
    <n v="2"/>
    <n v="2"/>
    <n v="10"/>
    <n v="2"/>
    <n v="1"/>
    <n v="0"/>
    <n v="4"/>
    <n v="4"/>
    <x v="0"/>
    <x v="0"/>
    <x v="0"/>
    <x v="0"/>
    <x v="0"/>
    <n v="0"/>
    <n v="3"/>
    <n v="11"/>
    <x v="1"/>
  </r>
  <r>
    <n v="9855"/>
    <n v="1952"/>
    <x v="1"/>
    <s v="Single"/>
    <n v="62000"/>
    <n v="0"/>
    <n v="1"/>
    <d v="2013-08-25T00:00:00"/>
    <n v="25"/>
    <n v="899"/>
    <n v="0"/>
    <n v="101"/>
    <n v="0"/>
    <n v="0"/>
    <n v="20"/>
    <n v="1"/>
    <n v="6"/>
    <n v="6"/>
    <n v="13"/>
    <n v="4"/>
    <x v="0"/>
    <x v="0"/>
    <x v="0"/>
    <x v="1"/>
    <x v="0"/>
    <n v="0"/>
    <n v="3"/>
    <n v="11"/>
    <x v="1"/>
  </r>
  <r>
    <n v="4088"/>
    <n v="1962"/>
    <x v="1"/>
    <s v="Together"/>
    <n v="31497"/>
    <n v="0"/>
    <n v="1"/>
    <d v="2012-12-06T00:00:00"/>
    <n v="22"/>
    <n v="108"/>
    <n v="1"/>
    <n v="28"/>
    <n v="13"/>
    <n v="1"/>
    <n v="4"/>
    <n v="2"/>
    <n v="3"/>
    <n v="1"/>
    <n v="4"/>
    <n v="8"/>
    <x v="0"/>
    <x v="0"/>
    <x v="0"/>
    <x v="0"/>
    <x v="0"/>
    <n v="0"/>
    <n v="3"/>
    <n v="11"/>
    <x v="1"/>
  </r>
  <r>
    <n v="5231"/>
    <n v="1974"/>
    <x v="4"/>
    <s v="Married"/>
    <n v="45894"/>
    <n v="0"/>
    <n v="2"/>
    <d v="2014-02-27T00:00:00"/>
    <n v="15"/>
    <n v="27"/>
    <n v="2"/>
    <n v="7"/>
    <n v="0"/>
    <n v="2"/>
    <n v="13"/>
    <n v="1"/>
    <n v="1"/>
    <n v="0"/>
    <n v="3"/>
    <n v="5"/>
    <x v="0"/>
    <x v="0"/>
    <x v="0"/>
    <x v="0"/>
    <x v="0"/>
    <n v="0"/>
    <n v="3"/>
    <n v="11"/>
    <x v="1"/>
  </r>
  <r>
    <n v="590"/>
    <n v="1970"/>
    <x v="2"/>
    <s v="Divorced"/>
    <n v="78579"/>
    <n v="0"/>
    <n v="0"/>
    <d v="2012-12-22T00:00:00"/>
    <n v="35"/>
    <n v="816"/>
    <n v="66"/>
    <n v="549"/>
    <n v="216"/>
    <n v="66"/>
    <n v="99"/>
    <n v="1"/>
    <n v="5"/>
    <n v="6"/>
    <n v="4"/>
    <n v="3"/>
    <x v="0"/>
    <x v="0"/>
    <x v="0"/>
    <x v="0"/>
    <x v="0"/>
    <n v="0"/>
    <n v="3"/>
    <n v="11"/>
    <x v="0"/>
  </r>
  <r>
    <n v="8732"/>
    <n v="1969"/>
    <x v="2"/>
    <s v="Widow"/>
    <n v="67369"/>
    <n v="0"/>
    <n v="1"/>
    <d v="2012-11-17T00:00:00"/>
    <n v="81"/>
    <n v="1298"/>
    <n v="0"/>
    <n v="70"/>
    <n v="37"/>
    <n v="14"/>
    <n v="42"/>
    <n v="4"/>
    <n v="7"/>
    <n v="4"/>
    <n v="10"/>
    <n v="4"/>
    <x v="0"/>
    <x v="1"/>
    <x v="1"/>
    <x v="0"/>
    <x v="0"/>
    <n v="0"/>
    <n v="3"/>
    <n v="11"/>
    <x v="0"/>
  </r>
  <r>
    <n v="2315"/>
    <n v="1960"/>
    <x v="0"/>
    <s v="Divorced"/>
    <n v="58401"/>
    <n v="0"/>
    <n v="1"/>
    <d v="2014-04-20T00:00:00"/>
    <n v="55"/>
    <n v="10"/>
    <n v="0"/>
    <n v="11"/>
    <n v="17"/>
    <n v="29"/>
    <n v="29"/>
    <n v="1"/>
    <n v="1"/>
    <n v="2"/>
    <n v="2"/>
    <n v="4"/>
    <x v="0"/>
    <x v="0"/>
    <x v="0"/>
    <x v="0"/>
    <x v="0"/>
    <n v="0"/>
    <n v="3"/>
    <n v="11"/>
    <x v="1"/>
  </r>
  <r>
    <n v="3515"/>
    <n v="1952"/>
    <x v="0"/>
    <s v="Single"/>
    <n v="62307"/>
    <n v="0"/>
    <n v="1"/>
    <d v="2014-02-17T00:00:00"/>
    <n v="94"/>
    <n v="87"/>
    <n v="13"/>
    <n v="34"/>
    <n v="10"/>
    <n v="6"/>
    <n v="10"/>
    <n v="1"/>
    <n v="4"/>
    <n v="0"/>
    <n v="4"/>
    <n v="5"/>
    <x v="0"/>
    <x v="0"/>
    <x v="0"/>
    <x v="0"/>
    <x v="0"/>
    <n v="0"/>
    <n v="3"/>
    <n v="11"/>
    <x v="1"/>
  </r>
  <r>
    <n v="2245"/>
    <n v="1969"/>
    <x v="2"/>
    <s v="Married"/>
    <n v="43641"/>
    <n v="1"/>
    <n v="1"/>
    <d v="2013-04-22T00:00:00"/>
    <n v="50"/>
    <n v="57"/>
    <n v="2"/>
    <n v="51"/>
    <n v="4"/>
    <n v="2"/>
    <n v="23"/>
    <n v="3"/>
    <n v="2"/>
    <n v="1"/>
    <n v="4"/>
    <n v="6"/>
    <x v="0"/>
    <x v="0"/>
    <x v="0"/>
    <x v="0"/>
    <x v="0"/>
    <n v="0"/>
    <n v="3"/>
    <n v="11"/>
    <x v="1"/>
  </r>
  <r>
    <n v="6283"/>
    <n v="1968"/>
    <x v="2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x v="0"/>
    <x v="0"/>
    <x v="0"/>
    <x v="0"/>
    <x v="0"/>
    <n v="0"/>
    <n v="3"/>
    <n v="11"/>
    <x v="1"/>
  </r>
  <r>
    <n v="2246"/>
    <n v="1965"/>
    <x v="4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x v="0"/>
    <x v="0"/>
    <x v="0"/>
    <x v="0"/>
    <x v="0"/>
    <n v="0"/>
    <n v="3"/>
    <n v="11"/>
    <x v="1"/>
  </r>
  <r>
    <n v="6606"/>
    <n v="1969"/>
    <x v="2"/>
    <s v="Married"/>
    <n v="70091"/>
    <n v="1"/>
    <n v="0"/>
    <d v="2013-03-31T00:00:00"/>
    <n v="11"/>
    <n v="964"/>
    <n v="34"/>
    <n v="137"/>
    <n v="15"/>
    <n v="0"/>
    <n v="11"/>
    <n v="2"/>
    <n v="5"/>
    <n v="2"/>
    <n v="10"/>
    <n v="8"/>
    <x v="0"/>
    <x v="1"/>
    <x v="0"/>
    <x v="0"/>
    <x v="0"/>
    <n v="0"/>
    <n v="3"/>
    <n v="11"/>
    <x v="1"/>
  </r>
  <r>
    <n v="5545"/>
    <n v="1972"/>
    <x v="1"/>
    <s v="Married"/>
    <n v="78075"/>
    <n v="0"/>
    <n v="0"/>
    <d v="2014-04-05T00:00:00"/>
    <n v="72"/>
    <n v="572"/>
    <n v="8"/>
    <n v="259"/>
    <n v="34"/>
    <n v="35"/>
    <n v="80"/>
    <n v="1"/>
    <n v="3"/>
    <n v="5"/>
    <n v="5"/>
    <n v="1"/>
    <x v="0"/>
    <x v="0"/>
    <x v="0"/>
    <x v="0"/>
    <x v="0"/>
    <n v="0"/>
    <n v="3"/>
    <n v="11"/>
    <x v="1"/>
  </r>
  <r>
    <n v="7342"/>
    <n v="1961"/>
    <x v="4"/>
    <s v="Widow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x v="0"/>
    <x v="0"/>
    <x v="0"/>
    <x v="0"/>
    <x v="0"/>
    <n v="0"/>
    <n v="3"/>
    <n v="11"/>
    <x v="1"/>
  </r>
  <r>
    <n v="837"/>
    <n v="1977"/>
    <x v="0"/>
    <s v="Married"/>
    <n v="54809"/>
    <n v="1"/>
    <n v="1"/>
    <d v="2013-09-11T00:00:00"/>
    <n v="0"/>
    <n v="63"/>
    <n v="6"/>
    <n v="57"/>
    <n v="13"/>
    <n v="13"/>
    <n v="22"/>
    <n v="4"/>
    <n v="2"/>
    <n v="1"/>
    <n v="5"/>
    <n v="4"/>
    <x v="0"/>
    <x v="0"/>
    <x v="0"/>
    <x v="0"/>
    <x v="0"/>
    <n v="0"/>
    <n v="3"/>
    <n v="11"/>
    <x v="1"/>
  </r>
  <r>
    <n v="9500"/>
    <n v="1959"/>
    <x v="0"/>
    <s v="Married"/>
    <n v="58113"/>
    <n v="0"/>
    <n v="1"/>
    <d v="2013-01-25T00:00:00"/>
    <n v="66"/>
    <n v="221"/>
    <n v="104"/>
    <n v="169"/>
    <n v="102"/>
    <n v="78"/>
    <n v="84"/>
    <n v="3"/>
    <n v="9"/>
    <n v="2"/>
    <n v="8"/>
    <n v="7"/>
    <x v="0"/>
    <x v="0"/>
    <x v="0"/>
    <x v="0"/>
    <x v="0"/>
    <n v="1"/>
    <n v="3"/>
    <n v="11"/>
    <x v="1"/>
  </r>
  <r>
    <n v="3602"/>
    <n v="1958"/>
    <x v="2"/>
    <s v="Married"/>
    <n v="51412"/>
    <n v="0"/>
    <n v="1"/>
    <d v="2013-12-31T00:00:00"/>
    <n v="42"/>
    <n v="140"/>
    <n v="3"/>
    <n v="29"/>
    <n v="4"/>
    <n v="5"/>
    <n v="14"/>
    <n v="2"/>
    <n v="3"/>
    <n v="2"/>
    <n v="4"/>
    <n v="4"/>
    <x v="0"/>
    <x v="0"/>
    <x v="0"/>
    <x v="0"/>
    <x v="0"/>
    <n v="0"/>
    <n v="3"/>
    <n v="11"/>
    <x v="1"/>
  </r>
  <r>
    <n v="234"/>
    <n v="1979"/>
    <x v="0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x v="1"/>
    <x v="0"/>
    <x v="0"/>
    <x v="0"/>
    <x v="0"/>
    <n v="0"/>
    <n v="3"/>
    <n v="11"/>
    <x v="0"/>
  </r>
  <r>
    <n v="2995"/>
    <n v="1957"/>
    <x v="2"/>
    <s v="Together"/>
    <n v="66636"/>
    <n v="0"/>
    <n v="0"/>
    <d v="2013-08-17T00:00:00"/>
    <n v="64"/>
    <n v="291"/>
    <n v="10"/>
    <n v="689"/>
    <n v="84"/>
    <n v="10"/>
    <n v="0"/>
    <n v="1"/>
    <n v="3"/>
    <n v="4"/>
    <n v="9"/>
    <n v="1"/>
    <x v="0"/>
    <x v="0"/>
    <x v="0"/>
    <x v="0"/>
    <x v="0"/>
    <n v="0"/>
    <n v="3"/>
    <n v="11"/>
    <x v="1"/>
  </r>
  <r>
    <n v="1118"/>
    <n v="1956"/>
    <x v="2"/>
    <s v="Married"/>
    <n v="50965"/>
    <n v="0"/>
    <n v="1"/>
    <d v="2013-02-20T00:00:00"/>
    <n v="87"/>
    <n v="544"/>
    <n v="13"/>
    <n v="85"/>
    <n v="8"/>
    <n v="6"/>
    <n v="29"/>
    <n v="3"/>
    <n v="10"/>
    <n v="4"/>
    <n v="5"/>
    <n v="8"/>
    <x v="1"/>
    <x v="0"/>
    <x v="0"/>
    <x v="0"/>
    <x v="0"/>
    <n v="0"/>
    <n v="3"/>
    <n v="11"/>
    <x v="1"/>
  </r>
  <r>
    <n v="7789"/>
    <n v="1965"/>
    <x v="1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x v="0"/>
    <x v="0"/>
    <x v="1"/>
    <x v="0"/>
    <x v="0"/>
    <n v="0"/>
    <n v="3"/>
    <n v="11"/>
    <x v="1"/>
  </r>
  <r>
    <n v="3068"/>
    <n v="1990"/>
    <x v="0"/>
    <s v="Married"/>
    <n v="18351"/>
    <n v="0"/>
    <n v="0"/>
    <d v="2013-10-29T00:00:00"/>
    <n v="1"/>
    <n v="1"/>
    <n v="12"/>
    <n v="9"/>
    <n v="0"/>
    <n v="14"/>
    <n v="7"/>
    <n v="1"/>
    <n v="2"/>
    <n v="0"/>
    <n v="3"/>
    <n v="7"/>
    <x v="0"/>
    <x v="0"/>
    <x v="0"/>
    <x v="0"/>
    <x v="0"/>
    <n v="0"/>
    <n v="3"/>
    <n v="11"/>
    <x v="1"/>
  </r>
  <r>
    <n v="8955"/>
    <n v="1957"/>
    <x v="1"/>
    <s v="Together"/>
    <n v="40451"/>
    <n v="0"/>
    <n v="2"/>
    <d v="2014-02-16T00:00:00"/>
    <n v="54"/>
    <n v="35"/>
    <n v="0"/>
    <n v="4"/>
    <n v="0"/>
    <n v="0"/>
    <n v="10"/>
    <n v="1"/>
    <n v="1"/>
    <n v="1"/>
    <n v="2"/>
    <n v="5"/>
    <x v="1"/>
    <x v="0"/>
    <x v="0"/>
    <x v="0"/>
    <x v="0"/>
    <n v="0"/>
    <n v="3"/>
    <n v="11"/>
    <x v="1"/>
  </r>
  <r>
    <n v="945"/>
    <n v="1965"/>
    <x v="0"/>
    <s v="Together"/>
    <n v="36317"/>
    <n v="0"/>
    <n v="1"/>
    <d v="2013-05-22T00:00:00"/>
    <n v="53"/>
    <n v="87"/>
    <n v="3"/>
    <n v="25"/>
    <n v="3"/>
    <n v="2"/>
    <n v="13"/>
    <n v="2"/>
    <n v="3"/>
    <n v="0"/>
    <n v="4"/>
    <n v="7"/>
    <x v="0"/>
    <x v="0"/>
    <x v="0"/>
    <x v="0"/>
    <x v="0"/>
    <n v="0"/>
    <n v="3"/>
    <n v="11"/>
    <x v="1"/>
  </r>
  <r>
    <n v="5644"/>
    <n v="1957"/>
    <x v="0"/>
    <s v="Together"/>
    <n v="42213"/>
    <n v="0"/>
    <n v="1"/>
    <d v="2013-10-12T00:00:00"/>
    <n v="96"/>
    <n v="309"/>
    <n v="3"/>
    <n v="24"/>
    <n v="4"/>
    <n v="3"/>
    <n v="20"/>
    <n v="2"/>
    <n v="5"/>
    <n v="1"/>
    <n v="7"/>
    <n v="7"/>
    <x v="0"/>
    <x v="1"/>
    <x v="0"/>
    <x v="0"/>
    <x v="0"/>
    <n v="0"/>
    <n v="3"/>
    <n v="11"/>
    <x v="1"/>
  </r>
  <r>
    <n v="7192"/>
    <n v="1955"/>
    <x v="0"/>
    <s v="Together"/>
    <n v="65748"/>
    <n v="0"/>
    <n v="1"/>
    <d v="2013-04-15T00:00:00"/>
    <n v="58"/>
    <n v="172"/>
    <n v="73"/>
    <n v="93"/>
    <n v="95"/>
    <n v="78"/>
    <n v="34"/>
    <n v="2"/>
    <n v="2"/>
    <n v="4"/>
    <n v="10"/>
    <n v="1"/>
    <x v="0"/>
    <x v="0"/>
    <x v="0"/>
    <x v="0"/>
    <x v="0"/>
    <n v="1"/>
    <n v="3"/>
    <n v="11"/>
    <x v="1"/>
  </r>
  <r>
    <n v="2324"/>
    <n v="1972"/>
    <x v="0"/>
    <s v="Together"/>
    <n v="77044"/>
    <n v="0"/>
    <n v="1"/>
    <d v="2013-10-27T00:00:00"/>
    <n v="12"/>
    <n v="625"/>
    <n v="38"/>
    <n v="242"/>
    <n v="50"/>
    <n v="34"/>
    <n v="76"/>
    <n v="2"/>
    <n v="7"/>
    <n v="11"/>
    <n v="11"/>
    <n v="4"/>
    <x v="1"/>
    <x v="0"/>
    <x v="0"/>
    <x v="0"/>
    <x v="0"/>
    <n v="0"/>
    <n v="3"/>
    <n v="11"/>
    <x v="1"/>
  </r>
  <r>
    <n v="697"/>
    <n v="1969"/>
    <x v="0"/>
    <s v="Together"/>
    <n v="74918"/>
    <n v="0"/>
    <n v="0"/>
    <d v="2013-03-12T00:00:00"/>
    <n v="78"/>
    <n v="972"/>
    <n v="59"/>
    <n v="913"/>
    <n v="25"/>
    <n v="19"/>
    <n v="59"/>
    <n v="1"/>
    <n v="5"/>
    <n v="9"/>
    <n v="6"/>
    <n v="3"/>
    <x v="0"/>
    <x v="0"/>
    <x v="1"/>
    <x v="0"/>
    <x v="0"/>
    <n v="0"/>
    <n v="3"/>
    <n v="11"/>
    <x v="1"/>
  </r>
  <r>
    <n v="3439"/>
    <n v="1972"/>
    <x v="0"/>
    <s v="Married"/>
    <n v="56721"/>
    <n v="1"/>
    <n v="1"/>
    <d v="2012-10-31T00:00:00"/>
    <n v="64"/>
    <n v="157"/>
    <n v="6"/>
    <n v="39"/>
    <n v="6"/>
    <n v="13"/>
    <n v="75"/>
    <n v="5"/>
    <n v="4"/>
    <n v="1"/>
    <n v="5"/>
    <n v="6"/>
    <x v="0"/>
    <x v="0"/>
    <x v="0"/>
    <x v="0"/>
    <x v="0"/>
    <n v="0"/>
    <n v="3"/>
    <n v="11"/>
    <x v="1"/>
  </r>
  <r>
    <n v="1506"/>
    <n v="1975"/>
    <x v="0"/>
    <s v="Single"/>
    <n v="42160"/>
    <n v="1"/>
    <n v="1"/>
    <d v="2013-06-28T00:00:00"/>
    <n v="26"/>
    <n v="48"/>
    <n v="9"/>
    <n v="45"/>
    <n v="3"/>
    <n v="15"/>
    <n v="20"/>
    <n v="4"/>
    <n v="2"/>
    <n v="1"/>
    <n v="4"/>
    <n v="6"/>
    <x v="0"/>
    <x v="0"/>
    <x v="0"/>
    <x v="0"/>
    <x v="0"/>
    <n v="0"/>
    <n v="3"/>
    <n v="11"/>
    <x v="0"/>
  </r>
  <r>
    <n v="232"/>
    <n v="1965"/>
    <x v="0"/>
    <s v="Single"/>
    <n v="61559"/>
    <n v="0"/>
    <n v="1"/>
    <d v="2013-07-17T00:00:00"/>
    <n v="8"/>
    <n v="279"/>
    <n v="83"/>
    <n v="88"/>
    <n v="32"/>
    <n v="14"/>
    <n v="34"/>
    <n v="1"/>
    <n v="4"/>
    <n v="2"/>
    <n v="10"/>
    <n v="3"/>
    <x v="0"/>
    <x v="0"/>
    <x v="0"/>
    <x v="0"/>
    <x v="0"/>
    <n v="0"/>
    <n v="3"/>
    <n v="11"/>
    <x v="1"/>
  </r>
  <r>
    <n v="8876"/>
    <n v="1963"/>
    <x v="1"/>
    <s v="Together"/>
    <n v="33629"/>
    <n v="1"/>
    <n v="1"/>
    <d v="2012-08-08T00:00:00"/>
    <n v="49"/>
    <n v="132"/>
    <n v="0"/>
    <n v="16"/>
    <n v="0"/>
    <n v="0"/>
    <n v="4"/>
    <n v="5"/>
    <n v="3"/>
    <n v="1"/>
    <n v="4"/>
    <n v="9"/>
    <x v="0"/>
    <x v="0"/>
    <x v="0"/>
    <x v="0"/>
    <x v="0"/>
    <n v="0"/>
    <n v="3"/>
    <n v="11"/>
    <x v="1"/>
  </r>
  <r>
    <n v="4500"/>
    <n v="1991"/>
    <x v="1"/>
    <s v="Together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x v="0"/>
    <x v="0"/>
    <x v="0"/>
    <x v="0"/>
    <x v="0"/>
    <n v="0"/>
    <n v="3"/>
    <n v="11"/>
    <x v="1"/>
  </r>
  <r>
    <n v="9739"/>
    <n v="1963"/>
    <x v="0"/>
    <s v="Single"/>
    <n v="34377"/>
    <n v="0"/>
    <n v="1"/>
    <d v="2013-01-19T00:00:00"/>
    <n v="55"/>
    <n v="62"/>
    <n v="0"/>
    <n v="22"/>
    <n v="3"/>
    <n v="1"/>
    <n v="26"/>
    <n v="2"/>
    <n v="2"/>
    <n v="2"/>
    <n v="2"/>
    <n v="7"/>
    <x v="0"/>
    <x v="0"/>
    <x v="0"/>
    <x v="0"/>
    <x v="0"/>
    <n v="0"/>
    <n v="3"/>
    <n v="11"/>
    <x v="1"/>
  </r>
  <r>
    <n v="10395"/>
    <n v="1986"/>
    <x v="3"/>
    <s v="Single"/>
    <n v="8940"/>
    <n v="1"/>
    <n v="0"/>
    <d v="2012-08-22T00:00:00"/>
    <n v="25"/>
    <n v="1"/>
    <n v="45"/>
    <n v="3"/>
    <n v="4"/>
    <n v="6"/>
    <n v="42"/>
    <n v="3"/>
    <n v="3"/>
    <n v="1"/>
    <n v="3"/>
    <n v="8"/>
    <x v="0"/>
    <x v="0"/>
    <x v="0"/>
    <x v="0"/>
    <x v="0"/>
    <n v="0"/>
    <n v="3"/>
    <n v="11"/>
    <x v="1"/>
  </r>
  <r>
    <n v="1176"/>
    <n v="1973"/>
    <x v="0"/>
    <s v="Married"/>
    <n v="26228"/>
    <n v="1"/>
    <n v="0"/>
    <d v="2013-09-22T00:00:00"/>
    <n v="50"/>
    <n v="2"/>
    <n v="6"/>
    <n v="4"/>
    <n v="3"/>
    <n v="1"/>
    <n v="9"/>
    <n v="1"/>
    <n v="1"/>
    <n v="0"/>
    <n v="2"/>
    <n v="8"/>
    <x v="0"/>
    <x v="0"/>
    <x v="0"/>
    <x v="0"/>
    <x v="0"/>
    <n v="0"/>
    <n v="3"/>
    <n v="11"/>
    <x v="1"/>
  </r>
  <r>
    <n v="1627"/>
    <n v="1957"/>
    <x v="4"/>
    <s v="Divorced"/>
    <n v="77297"/>
    <n v="0"/>
    <n v="0"/>
    <d v="2013-01-26T00:00:00"/>
    <n v="84"/>
    <n v="408"/>
    <n v="61"/>
    <n v="109"/>
    <n v="48"/>
    <n v="122"/>
    <n v="41"/>
    <n v="1"/>
    <n v="5"/>
    <n v="7"/>
    <n v="9"/>
    <n v="4"/>
    <x v="0"/>
    <x v="0"/>
    <x v="0"/>
    <x v="1"/>
    <x v="0"/>
    <n v="0"/>
    <n v="3"/>
    <n v="11"/>
    <x v="1"/>
  </r>
  <r>
    <n v="938"/>
    <n v="1981"/>
    <x v="0"/>
    <s v="Married"/>
    <n v="40211"/>
    <n v="1"/>
    <n v="1"/>
    <d v="2013-07-30T00:00:00"/>
    <n v="30"/>
    <n v="51"/>
    <n v="1"/>
    <n v="7"/>
    <n v="2"/>
    <n v="1"/>
    <n v="25"/>
    <n v="2"/>
    <n v="2"/>
    <n v="1"/>
    <n v="2"/>
    <n v="8"/>
    <x v="1"/>
    <x v="0"/>
    <x v="0"/>
    <x v="0"/>
    <x v="0"/>
    <n v="0"/>
    <n v="3"/>
    <n v="11"/>
    <x v="1"/>
  </r>
  <r>
    <n v="2740"/>
    <n v="1958"/>
    <x v="1"/>
    <s v="Widow"/>
    <n v="33438"/>
    <n v="1"/>
    <n v="1"/>
    <d v="2013-09-22T00:00:00"/>
    <n v="81"/>
    <n v="62"/>
    <n v="1"/>
    <n v="16"/>
    <n v="3"/>
    <n v="2"/>
    <n v="6"/>
    <n v="4"/>
    <n v="2"/>
    <n v="1"/>
    <n v="4"/>
    <n v="5"/>
    <x v="0"/>
    <x v="0"/>
    <x v="0"/>
    <x v="0"/>
    <x v="0"/>
    <n v="0"/>
    <n v="3"/>
    <n v="11"/>
    <x v="1"/>
  </r>
  <r>
    <n v="257"/>
    <n v="1959"/>
    <x v="1"/>
    <s v="Married"/>
    <n v="75032"/>
    <n v="0"/>
    <n v="1"/>
    <d v="2013-04-28T00:00:00"/>
    <n v="74"/>
    <n v="952"/>
    <n v="12"/>
    <n v="180"/>
    <n v="47"/>
    <n v="12"/>
    <n v="12"/>
    <n v="2"/>
    <n v="5"/>
    <n v="4"/>
    <n v="9"/>
    <n v="3"/>
    <x v="0"/>
    <x v="0"/>
    <x v="0"/>
    <x v="0"/>
    <x v="0"/>
    <n v="0"/>
    <n v="3"/>
    <n v="11"/>
    <x v="1"/>
  </r>
  <r>
    <n v="4058"/>
    <n v="1955"/>
    <x v="1"/>
    <s v="Single"/>
    <n v="61284"/>
    <n v="0"/>
    <n v="0"/>
    <d v="2013-10-12T00:00:00"/>
    <n v="76"/>
    <n v="618"/>
    <n v="15"/>
    <n v="106"/>
    <n v="20"/>
    <n v="7"/>
    <n v="45"/>
    <n v="1"/>
    <n v="11"/>
    <n v="2"/>
    <n v="8"/>
    <n v="6"/>
    <x v="0"/>
    <x v="1"/>
    <x v="0"/>
    <x v="0"/>
    <x v="0"/>
    <n v="0"/>
    <n v="3"/>
    <n v="11"/>
    <x v="1"/>
  </r>
  <r>
    <n v="7736"/>
    <n v="1986"/>
    <x v="0"/>
    <s v="Married"/>
    <n v="22518"/>
    <n v="1"/>
    <n v="0"/>
    <d v="2012-10-22T00:00:00"/>
    <n v="36"/>
    <n v="11"/>
    <n v="7"/>
    <n v="12"/>
    <n v="2"/>
    <n v="2"/>
    <n v="27"/>
    <n v="2"/>
    <n v="2"/>
    <n v="1"/>
    <n v="2"/>
    <n v="5"/>
    <x v="1"/>
    <x v="0"/>
    <x v="0"/>
    <x v="0"/>
    <x v="0"/>
    <n v="0"/>
    <n v="3"/>
    <n v="11"/>
    <x v="0"/>
  </r>
  <r>
    <n v="8210"/>
    <n v="1975"/>
    <x v="2"/>
    <s v="Married"/>
    <n v="54730"/>
    <n v="0"/>
    <n v="1"/>
    <d v="2013-08-15T00:00:00"/>
    <n v="64"/>
    <n v="318"/>
    <n v="3"/>
    <n v="17"/>
    <n v="4"/>
    <n v="7"/>
    <n v="56"/>
    <n v="5"/>
    <n v="4"/>
    <n v="1"/>
    <n v="8"/>
    <n v="4"/>
    <x v="0"/>
    <x v="0"/>
    <x v="0"/>
    <x v="0"/>
    <x v="0"/>
    <n v="0"/>
    <n v="3"/>
    <n v="11"/>
    <x v="1"/>
  </r>
  <r>
    <n v="833"/>
    <n v="1955"/>
    <x v="2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x v="0"/>
    <x v="0"/>
    <x v="0"/>
    <x v="0"/>
    <x v="0"/>
    <n v="0"/>
    <n v="3"/>
    <n v="11"/>
    <x v="1"/>
  </r>
  <r>
    <n v="6230"/>
    <n v="1971"/>
    <x v="0"/>
    <s v="Divorced"/>
    <n v="44421"/>
    <n v="1"/>
    <n v="1"/>
    <d v="2013-02-15T00:00:00"/>
    <n v="53"/>
    <n v="110"/>
    <n v="5"/>
    <n v="59"/>
    <n v="7"/>
    <n v="1"/>
    <n v="7"/>
    <n v="5"/>
    <n v="5"/>
    <n v="0"/>
    <n v="4"/>
    <n v="8"/>
    <x v="0"/>
    <x v="0"/>
    <x v="0"/>
    <x v="0"/>
    <x v="0"/>
    <n v="0"/>
    <n v="3"/>
    <n v="11"/>
    <x v="1"/>
  </r>
  <r>
    <n v="7325"/>
    <n v="1986"/>
    <x v="1"/>
    <s v="Together"/>
    <n v="38197"/>
    <n v="1"/>
    <n v="0"/>
    <d v="2013-06-29T00:00:00"/>
    <n v="86"/>
    <n v="23"/>
    <n v="0"/>
    <n v="11"/>
    <n v="2"/>
    <n v="1"/>
    <n v="3"/>
    <n v="1"/>
    <n v="1"/>
    <n v="0"/>
    <n v="3"/>
    <n v="5"/>
    <x v="0"/>
    <x v="0"/>
    <x v="0"/>
    <x v="0"/>
    <x v="0"/>
    <n v="0"/>
    <n v="3"/>
    <n v="11"/>
    <x v="1"/>
  </r>
  <r>
    <n v="1307"/>
    <n v="1978"/>
    <x v="0"/>
    <s v="Divorced"/>
    <n v="41986"/>
    <n v="0"/>
    <n v="1"/>
    <d v="2014-02-09T00:00:00"/>
    <n v="15"/>
    <n v="27"/>
    <n v="5"/>
    <n v="8"/>
    <n v="8"/>
    <n v="3"/>
    <n v="12"/>
    <n v="3"/>
    <n v="3"/>
    <n v="0"/>
    <n v="4"/>
    <n v="4"/>
    <x v="0"/>
    <x v="0"/>
    <x v="0"/>
    <x v="0"/>
    <x v="0"/>
    <n v="0"/>
    <n v="3"/>
    <n v="11"/>
    <x v="1"/>
  </r>
  <r>
    <n v="1502"/>
    <n v="1983"/>
    <x v="0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x v="0"/>
    <x v="0"/>
    <x v="0"/>
    <x v="0"/>
    <x v="0"/>
    <n v="0"/>
    <n v="3"/>
    <n v="11"/>
    <x v="1"/>
  </r>
  <r>
    <n v="6211"/>
    <n v="1976"/>
    <x v="1"/>
    <s v="Together"/>
    <n v="37395"/>
    <n v="1"/>
    <n v="0"/>
    <d v="2014-05-02T00:00:00"/>
    <n v="47"/>
    <n v="18"/>
    <n v="0"/>
    <n v="9"/>
    <n v="0"/>
    <n v="1"/>
    <n v="11"/>
    <n v="1"/>
    <n v="1"/>
    <n v="0"/>
    <n v="3"/>
    <n v="6"/>
    <x v="0"/>
    <x v="0"/>
    <x v="0"/>
    <x v="0"/>
    <x v="0"/>
    <n v="0"/>
    <n v="3"/>
    <n v="11"/>
    <x v="1"/>
  </r>
  <r>
    <n v="843"/>
    <n v="1971"/>
    <x v="0"/>
    <s v="Married"/>
    <n v="64722"/>
    <n v="1"/>
    <n v="0"/>
    <d v="2014-05-26T00:00:00"/>
    <n v="47"/>
    <n v="303"/>
    <n v="0"/>
    <n v="280"/>
    <n v="60"/>
    <n v="147"/>
    <n v="15"/>
    <n v="4"/>
    <n v="8"/>
    <n v="2"/>
    <n v="11"/>
    <n v="6"/>
    <x v="0"/>
    <x v="0"/>
    <x v="0"/>
    <x v="0"/>
    <x v="0"/>
    <n v="0"/>
    <n v="3"/>
    <n v="11"/>
    <x v="1"/>
  </r>
  <r>
    <n v="4174"/>
    <n v="1956"/>
    <x v="2"/>
    <s v="Together"/>
    <n v="55249"/>
    <n v="0"/>
    <n v="1"/>
    <d v="2014-04-17T00:00:00"/>
    <n v="81"/>
    <n v="97"/>
    <n v="1"/>
    <n v="19"/>
    <n v="2"/>
    <n v="0"/>
    <n v="11"/>
    <n v="1"/>
    <n v="2"/>
    <n v="1"/>
    <n v="4"/>
    <n v="3"/>
    <x v="0"/>
    <x v="0"/>
    <x v="0"/>
    <x v="0"/>
    <x v="0"/>
    <n v="0"/>
    <n v="3"/>
    <n v="11"/>
    <x v="1"/>
  </r>
  <r>
    <n v="9757"/>
    <n v="1972"/>
    <x v="0"/>
    <s v="Together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x v="0"/>
    <x v="1"/>
    <x v="1"/>
    <x v="0"/>
    <x v="1"/>
    <n v="0"/>
    <n v="3"/>
    <n v="11"/>
    <x v="1"/>
  </r>
  <r>
    <n v="6918"/>
    <n v="1989"/>
    <x v="0"/>
    <s v="Married"/>
    <n v="28691"/>
    <n v="1"/>
    <n v="0"/>
    <d v="2013-07-04T00:00:00"/>
    <n v="56"/>
    <n v="5"/>
    <n v="4"/>
    <n v="13"/>
    <n v="8"/>
    <n v="0"/>
    <n v="4"/>
    <n v="1"/>
    <n v="1"/>
    <n v="0"/>
    <n v="3"/>
    <n v="8"/>
    <x v="0"/>
    <x v="0"/>
    <x v="0"/>
    <x v="0"/>
    <x v="0"/>
    <n v="0"/>
    <n v="3"/>
    <n v="11"/>
    <x v="1"/>
  </r>
  <r>
    <n v="286"/>
    <n v="1952"/>
    <x v="0"/>
    <s v="Single"/>
    <n v="44213"/>
    <n v="1"/>
    <n v="1"/>
    <d v="2013-11-29T00:00:00"/>
    <n v="48"/>
    <n v="95"/>
    <n v="11"/>
    <n v="35"/>
    <n v="0"/>
    <n v="4"/>
    <n v="7"/>
    <n v="4"/>
    <n v="2"/>
    <n v="1"/>
    <n v="5"/>
    <n v="6"/>
    <x v="0"/>
    <x v="0"/>
    <x v="0"/>
    <x v="0"/>
    <x v="0"/>
    <n v="0"/>
    <n v="3"/>
    <n v="11"/>
    <x v="1"/>
  </r>
  <r>
    <n v="11086"/>
    <n v="1984"/>
    <x v="3"/>
    <s v="Single"/>
    <n v="25707"/>
    <n v="1"/>
    <n v="0"/>
    <d v="2014-01-18T00:00:00"/>
    <n v="18"/>
    <n v="1"/>
    <n v="6"/>
    <n v="2"/>
    <n v="3"/>
    <n v="6"/>
    <n v="3"/>
    <n v="1"/>
    <n v="1"/>
    <n v="0"/>
    <n v="3"/>
    <n v="7"/>
    <x v="0"/>
    <x v="0"/>
    <x v="0"/>
    <x v="0"/>
    <x v="0"/>
    <n v="0"/>
    <n v="3"/>
    <n v="11"/>
    <x v="1"/>
  </r>
  <r>
    <n v="1921"/>
    <n v="1967"/>
    <x v="1"/>
    <s v="Married"/>
    <n v="59062"/>
    <n v="2"/>
    <n v="1"/>
    <d v="2013-10-03T00:00:00"/>
    <n v="74"/>
    <n v="46"/>
    <n v="1"/>
    <n v="12"/>
    <n v="3"/>
    <n v="0"/>
    <n v="9"/>
    <n v="2"/>
    <n v="2"/>
    <n v="0"/>
    <n v="3"/>
    <n v="4"/>
    <x v="0"/>
    <x v="0"/>
    <x v="0"/>
    <x v="0"/>
    <x v="0"/>
    <n v="0"/>
    <n v="3"/>
    <n v="11"/>
    <x v="1"/>
  </r>
  <r>
    <n v="4138"/>
    <n v="1962"/>
    <x v="0"/>
    <s v="Single"/>
    <n v="76624"/>
    <n v="0"/>
    <n v="1"/>
    <d v="2014-05-24T00:00:00"/>
    <n v="68"/>
    <n v="411"/>
    <n v="106"/>
    <n v="147"/>
    <n v="54"/>
    <n v="115"/>
    <n v="66"/>
    <n v="1"/>
    <n v="5"/>
    <n v="10"/>
    <n v="7"/>
    <n v="1"/>
    <x v="1"/>
    <x v="0"/>
    <x v="0"/>
    <x v="0"/>
    <x v="0"/>
    <n v="0"/>
    <n v="3"/>
    <n v="11"/>
    <x v="1"/>
  </r>
  <r>
    <n v="7718"/>
    <n v="1947"/>
    <x v="2"/>
    <s v="Together"/>
    <n v="66000"/>
    <n v="0"/>
    <n v="0"/>
    <d v="2014-04-20T00:00:00"/>
    <n v="36"/>
    <n v="244"/>
    <n v="51"/>
    <n v="270"/>
    <n v="101"/>
    <n v="0"/>
    <n v="45"/>
    <n v="1"/>
    <n v="1"/>
    <n v="3"/>
    <n v="5"/>
    <n v="1"/>
    <x v="0"/>
    <x v="0"/>
    <x v="0"/>
    <x v="0"/>
    <x v="0"/>
    <n v="0"/>
    <n v="3"/>
    <n v="11"/>
    <x v="1"/>
  </r>
  <r>
    <n v="1291"/>
    <n v="1978"/>
    <x v="1"/>
    <s v="Together"/>
    <n v="27683"/>
    <n v="1"/>
    <n v="0"/>
    <d v="2012-08-04T00:00:00"/>
    <n v="90"/>
    <n v="152"/>
    <n v="9"/>
    <n v="121"/>
    <n v="12"/>
    <n v="12"/>
    <n v="45"/>
    <n v="4"/>
    <n v="6"/>
    <n v="2"/>
    <n v="4"/>
    <n v="8"/>
    <x v="0"/>
    <x v="0"/>
    <x v="0"/>
    <x v="0"/>
    <x v="0"/>
    <n v="0"/>
    <n v="3"/>
    <n v="11"/>
    <x v="1"/>
  </r>
  <r>
    <n v="6862"/>
    <n v="1971"/>
    <x v="0"/>
    <s v="Divorced"/>
    <n v="1730"/>
    <n v="0"/>
    <n v="0"/>
    <d v="2014-05-18T00:00:00"/>
    <n v="65"/>
    <n v="1"/>
    <n v="1"/>
    <n v="3"/>
    <n v="1"/>
    <n v="1"/>
    <n v="1"/>
    <n v="15"/>
    <n v="0"/>
    <n v="0"/>
    <n v="0"/>
    <n v="20"/>
    <x v="0"/>
    <x v="0"/>
    <x v="0"/>
    <x v="0"/>
    <x v="0"/>
    <n v="0"/>
    <n v="3"/>
    <n v="11"/>
    <x v="1"/>
  </r>
  <r>
    <n v="4136"/>
    <n v="1992"/>
    <x v="3"/>
    <s v="Single"/>
    <n v="7500"/>
    <n v="1"/>
    <n v="0"/>
    <d v="2012-12-03T00:00:00"/>
    <n v="63"/>
    <n v="10"/>
    <n v="17"/>
    <n v="18"/>
    <n v="8"/>
    <n v="26"/>
    <n v="40"/>
    <n v="4"/>
    <n v="3"/>
    <n v="2"/>
    <n v="2"/>
    <n v="9"/>
    <x v="0"/>
    <x v="0"/>
    <x v="0"/>
    <x v="0"/>
    <x v="0"/>
    <n v="0"/>
    <n v="3"/>
    <n v="11"/>
    <x v="1"/>
  </r>
  <r>
    <n v="803"/>
    <n v="1968"/>
    <x v="0"/>
    <s v="Together"/>
    <n v="40521"/>
    <n v="1"/>
    <n v="1"/>
    <d v="2013-04-05T00:00:00"/>
    <n v="82"/>
    <n v="12"/>
    <n v="0"/>
    <n v="5"/>
    <n v="0"/>
    <n v="0"/>
    <n v="4"/>
    <n v="1"/>
    <n v="0"/>
    <n v="1"/>
    <n v="2"/>
    <n v="5"/>
    <x v="0"/>
    <x v="0"/>
    <x v="0"/>
    <x v="0"/>
    <x v="0"/>
    <n v="0"/>
    <n v="3"/>
    <n v="11"/>
    <x v="1"/>
  </r>
  <r>
    <n v="4298"/>
    <n v="1973"/>
    <x v="1"/>
    <s v="Together"/>
    <n v="20427"/>
    <n v="1"/>
    <n v="0"/>
    <d v="2014-03-24T00:00:00"/>
    <n v="63"/>
    <n v="5"/>
    <n v="0"/>
    <n v="4"/>
    <n v="0"/>
    <n v="0"/>
    <n v="1"/>
    <n v="1"/>
    <n v="1"/>
    <n v="0"/>
    <n v="2"/>
    <n v="8"/>
    <x v="0"/>
    <x v="0"/>
    <x v="0"/>
    <x v="0"/>
    <x v="0"/>
    <n v="0"/>
    <n v="3"/>
    <n v="11"/>
    <x v="1"/>
  </r>
  <r>
    <n v="10833"/>
    <n v="1975"/>
    <x v="0"/>
    <s v="Married"/>
    <n v="65106"/>
    <n v="0"/>
    <n v="1"/>
    <d v="2014-05-24T00:00:00"/>
    <n v="55"/>
    <n v="790"/>
    <n v="19"/>
    <n v="133"/>
    <n v="12"/>
    <n v="0"/>
    <n v="19"/>
    <n v="3"/>
    <n v="8"/>
    <n v="3"/>
    <n v="13"/>
    <n v="6"/>
    <x v="0"/>
    <x v="1"/>
    <x v="0"/>
    <x v="0"/>
    <x v="0"/>
    <n v="0"/>
    <n v="3"/>
    <n v="11"/>
    <x v="1"/>
  </r>
  <r>
    <n v="9606"/>
    <n v="1965"/>
    <x v="1"/>
    <s v="Married"/>
    <n v="69969"/>
    <n v="0"/>
    <n v="0"/>
    <d v="2013-08-27T00:00:00"/>
    <n v="64"/>
    <n v="882"/>
    <n v="29"/>
    <n v="514"/>
    <n v="38"/>
    <n v="29"/>
    <n v="44"/>
    <n v="1"/>
    <n v="4"/>
    <n v="2"/>
    <n v="6"/>
    <n v="3"/>
    <x v="0"/>
    <x v="0"/>
    <x v="1"/>
    <x v="1"/>
    <x v="0"/>
    <n v="0"/>
    <n v="3"/>
    <n v="11"/>
    <x v="0"/>
  </r>
  <r>
    <n v="8534"/>
    <n v="1952"/>
    <x v="0"/>
    <s v="Married"/>
    <n v="67433"/>
    <n v="0"/>
    <n v="2"/>
    <d v="2013-07-16T00:00:00"/>
    <n v="51"/>
    <n v="615"/>
    <n v="28"/>
    <n v="259"/>
    <n v="12"/>
    <n v="48"/>
    <n v="30"/>
    <n v="4"/>
    <n v="6"/>
    <n v="5"/>
    <n v="13"/>
    <n v="4"/>
    <x v="0"/>
    <x v="1"/>
    <x v="0"/>
    <x v="0"/>
    <x v="0"/>
    <n v="0"/>
    <n v="3"/>
    <n v="11"/>
    <x v="1"/>
  </r>
  <r>
    <n v="5153"/>
    <n v="1967"/>
    <x v="1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x v="1"/>
    <x v="0"/>
    <x v="0"/>
    <x v="0"/>
    <x v="0"/>
    <n v="0"/>
    <n v="3"/>
    <n v="11"/>
    <x v="0"/>
  </r>
  <r>
    <n v="961"/>
    <n v="1972"/>
    <x v="0"/>
    <s v="Married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x v="0"/>
    <x v="0"/>
    <x v="0"/>
    <x v="0"/>
    <x v="0"/>
    <n v="0"/>
    <n v="3"/>
    <n v="11"/>
    <x v="1"/>
  </r>
  <r>
    <n v="5011"/>
    <n v="1963"/>
    <x v="0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x v="0"/>
    <x v="0"/>
    <x v="0"/>
    <x v="0"/>
    <x v="0"/>
    <n v="0"/>
    <n v="3"/>
    <n v="11"/>
    <x v="1"/>
  </r>
  <r>
    <n v="6653"/>
    <n v="1970"/>
    <x v="1"/>
    <s v="Married"/>
    <n v="55158"/>
    <n v="1"/>
    <n v="1"/>
    <d v="2012-07-30T00:00:00"/>
    <n v="72"/>
    <n v="293"/>
    <n v="0"/>
    <n v="87"/>
    <n v="4"/>
    <n v="11"/>
    <n v="23"/>
    <n v="4"/>
    <n v="7"/>
    <n v="2"/>
    <n v="5"/>
    <n v="7"/>
    <x v="0"/>
    <x v="0"/>
    <x v="0"/>
    <x v="0"/>
    <x v="0"/>
    <n v="0"/>
    <n v="3"/>
    <n v="11"/>
    <x v="0"/>
  </r>
  <r>
    <n v="9094"/>
    <n v="1955"/>
    <x v="4"/>
    <s v="Married"/>
    <n v="62972"/>
    <n v="0"/>
    <n v="1"/>
    <d v="2012-08-03T00:00:00"/>
    <n v="39"/>
    <n v="313"/>
    <n v="15"/>
    <n v="47"/>
    <n v="20"/>
    <n v="0"/>
    <n v="192"/>
    <n v="2"/>
    <n v="7"/>
    <n v="4"/>
    <n v="3"/>
    <n v="6"/>
    <x v="0"/>
    <x v="0"/>
    <x v="0"/>
    <x v="0"/>
    <x v="0"/>
    <n v="0"/>
    <n v="3"/>
    <n v="11"/>
    <x v="0"/>
  </r>
  <r>
    <n v="810"/>
    <n v="1975"/>
    <x v="0"/>
    <s v="Married"/>
    <n v="74190"/>
    <n v="0"/>
    <n v="1"/>
    <d v="2014-05-12T00:00:00"/>
    <n v="49"/>
    <n v="151"/>
    <n v="81"/>
    <n v="86"/>
    <n v="168"/>
    <n v="91"/>
    <n v="64"/>
    <n v="2"/>
    <n v="4"/>
    <n v="2"/>
    <n v="11"/>
    <n v="2"/>
    <x v="0"/>
    <x v="0"/>
    <x v="0"/>
    <x v="0"/>
    <x v="0"/>
    <n v="0"/>
    <n v="3"/>
    <n v="11"/>
    <x v="1"/>
  </r>
  <r>
    <n v="5493"/>
    <n v="1976"/>
    <x v="0"/>
    <s v="Married"/>
    <n v="39356"/>
    <n v="1"/>
    <n v="1"/>
    <d v="2014-03-19T00:00:00"/>
    <n v="21"/>
    <n v="15"/>
    <n v="0"/>
    <n v="2"/>
    <n v="0"/>
    <n v="0"/>
    <n v="6"/>
    <n v="1"/>
    <n v="1"/>
    <n v="0"/>
    <n v="2"/>
    <n v="6"/>
    <x v="1"/>
    <x v="0"/>
    <x v="0"/>
    <x v="0"/>
    <x v="0"/>
    <n v="0"/>
    <n v="3"/>
    <n v="11"/>
    <x v="1"/>
  </r>
  <r>
    <n v="2147"/>
    <n v="1969"/>
    <x v="0"/>
    <s v="Together"/>
    <n v="76653"/>
    <n v="0"/>
    <n v="0"/>
    <d v="2013-08-16T00:00:00"/>
    <n v="91"/>
    <n v="736"/>
    <n v="63"/>
    <n v="946"/>
    <n v="219"/>
    <n v="189"/>
    <n v="126"/>
    <n v="1"/>
    <n v="4"/>
    <n v="7"/>
    <n v="11"/>
    <n v="2"/>
    <x v="0"/>
    <x v="0"/>
    <x v="1"/>
    <x v="1"/>
    <x v="0"/>
    <n v="0"/>
    <n v="3"/>
    <n v="11"/>
    <x v="1"/>
  </r>
  <r>
    <n v="5107"/>
    <n v="1973"/>
    <x v="1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x v="1"/>
    <x v="0"/>
    <x v="0"/>
    <x v="0"/>
    <x v="0"/>
    <n v="0"/>
    <n v="3"/>
    <n v="11"/>
    <x v="1"/>
  </r>
  <r>
    <n v="3979"/>
    <n v="1983"/>
    <x v="1"/>
    <s v="Divorced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x v="0"/>
    <x v="0"/>
    <x v="1"/>
    <x v="0"/>
    <x v="0"/>
    <n v="0"/>
    <n v="3"/>
    <n v="11"/>
    <x v="0"/>
  </r>
  <r>
    <n v="6049"/>
    <n v="1982"/>
    <x v="2"/>
    <s v="Together"/>
    <n v="73450"/>
    <n v="0"/>
    <n v="0"/>
    <d v="2013-12-05T00:00:00"/>
    <n v="85"/>
    <n v="1142"/>
    <n v="51"/>
    <n v="415"/>
    <n v="90"/>
    <n v="69"/>
    <n v="37"/>
    <n v="1"/>
    <n v="7"/>
    <n v="8"/>
    <n v="11"/>
    <n v="3"/>
    <x v="1"/>
    <x v="0"/>
    <x v="0"/>
    <x v="1"/>
    <x v="0"/>
    <n v="0"/>
    <n v="3"/>
    <n v="11"/>
    <x v="1"/>
  </r>
  <r>
    <n v="8147"/>
    <n v="1960"/>
    <x v="0"/>
    <s v="Married"/>
    <n v="31454"/>
    <n v="1"/>
    <n v="1"/>
    <d v="2013-07-06T00:00:00"/>
    <n v="40"/>
    <n v="28"/>
    <n v="0"/>
    <n v="11"/>
    <n v="0"/>
    <n v="0"/>
    <n v="9"/>
    <n v="3"/>
    <n v="2"/>
    <n v="0"/>
    <n v="3"/>
    <n v="8"/>
    <x v="0"/>
    <x v="0"/>
    <x v="0"/>
    <x v="0"/>
    <x v="0"/>
    <n v="0"/>
    <n v="3"/>
    <n v="11"/>
    <x v="1"/>
  </r>
  <r>
    <n v="1857"/>
    <n v="1952"/>
    <x v="0"/>
    <s v="Single"/>
    <n v="47139"/>
    <n v="1"/>
    <n v="1"/>
    <d v="2014-03-06T00:00:00"/>
    <n v="2"/>
    <n v="46"/>
    <n v="0"/>
    <n v="12"/>
    <n v="0"/>
    <n v="2"/>
    <n v="23"/>
    <n v="2"/>
    <n v="2"/>
    <n v="1"/>
    <n v="2"/>
    <n v="7"/>
    <x v="0"/>
    <x v="0"/>
    <x v="0"/>
    <x v="0"/>
    <x v="0"/>
    <n v="0"/>
    <n v="3"/>
    <n v="11"/>
    <x v="0"/>
  </r>
  <r>
    <n v="3910"/>
    <n v="1975"/>
    <x v="0"/>
    <s v="Divorced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x v="1"/>
    <x v="0"/>
    <x v="1"/>
    <x v="1"/>
    <x v="0"/>
    <n v="0"/>
    <n v="3"/>
    <n v="11"/>
    <x v="0"/>
  </r>
  <r>
    <n v="5207"/>
    <n v="1963"/>
    <x v="1"/>
    <s v="Married"/>
    <n v="53378"/>
    <n v="1"/>
    <n v="1"/>
    <d v="2012-09-24T00:00:00"/>
    <n v="41"/>
    <n v="489"/>
    <n v="6"/>
    <n v="152"/>
    <n v="8"/>
    <n v="6"/>
    <n v="132"/>
    <n v="10"/>
    <n v="9"/>
    <n v="4"/>
    <n v="6"/>
    <n v="8"/>
    <x v="0"/>
    <x v="0"/>
    <x v="0"/>
    <x v="0"/>
    <x v="0"/>
    <n v="0"/>
    <n v="3"/>
    <n v="11"/>
    <x v="0"/>
  </r>
  <r>
    <n v="11114"/>
    <n v="1970"/>
    <x v="0"/>
    <s v="Together"/>
    <n v="19656"/>
    <n v="1"/>
    <n v="0"/>
    <d v="2013-02-08T00:00:00"/>
    <n v="94"/>
    <n v="25"/>
    <n v="4"/>
    <n v="9"/>
    <n v="6"/>
    <n v="8"/>
    <n v="32"/>
    <n v="3"/>
    <n v="2"/>
    <n v="1"/>
    <n v="3"/>
    <n v="7"/>
    <x v="0"/>
    <x v="0"/>
    <x v="0"/>
    <x v="0"/>
    <x v="0"/>
    <n v="0"/>
    <n v="3"/>
    <n v="11"/>
    <x v="1"/>
  </r>
  <r>
    <n v="5429"/>
    <n v="1948"/>
    <x v="1"/>
    <s v="Married"/>
    <n v="45579"/>
    <n v="0"/>
    <n v="1"/>
    <d v="2013-08-20T00:00:00"/>
    <n v="10"/>
    <n v="145"/>
    <n v="1"/>
    <n v="33"/>
    <n v="2"/>
    <n v="1"/>
    <n v="1"/>
    <n v="1"/>
    <n v="4"/>
    <n v="1"/>
    <n v="4"/>
    <n v="6"/>
    <x v="0"/>
    <x v="0"/>
    <x v="0"/>
    <x v="0"/>
    <x v="0"/>
    <n v="0"/>
    <n v="3"/>
    <n v="11"/>
    <x v="1"/>
  </r>
  <r>
    <n v="9400"/>
    <n v="1958"/>
    <x v="4"/>
    <s v="Single"/>
    <n v="85485"/>
    <n v="0"/>
    <n v="0"/>
    <d v="2014-06-21T00:00:00"/>
    <n v="73"/>
    <n v="630"/>
    <n v="26"/>
    <n v="611"/>
    <n v="44"/>
    <n v="18"/>
    <n v="54"/>
    <n v="1"/>
    <n v="6"/>
    <n v="6"/>
    <n v="6"/>
    <n v="2"/>
    <x v="0"/>
    <x v="0"/>
    <x v="0"/>
    <x v="0"/>
    <x v="0"/>
    <n v="0"/>
    <n v="3"/>
    <n v="11"/>
    <x v="1"/>
  </r>
  <r>
    <n v="1740"/>
    <n v="1944"/>
    <x v="0"/>
    <s v="Married"/>
    <n v="55956"/>
    <n v="0"/>
    <n v="0"/>
    <d v="2014-04-07T00:00:00"/>
    <n v="22"/>
    <n v="760"/>
    <n v="38"/>
    <n v="104"/>
    <n v="50"/>
    <n v="9"/>
    <n v="38"/>
    <n v="2"/>
    <n v="7"/>
    <n v="3"/>
    <n v="4"/>
    <n v="4"/>
    <x v="0"/>
    <x v="1"/>
    <x v="0"/>
    <x v="0"/>
    <x v="0"/>
    <n v="0"/>
    <n v="3"/>
    <n v="11"/>
    <x v="1"/>
  </r>
  <r>
    <n v="7488"/>
    <n v="1963"/>
    <x v="2"/>
    <s v="Single"/>
    <n v="64191"/>
    <n v="0"/>
    <n v="1"/>
    <d v="2013-01-22T00:00:00"/>
    <n v="30"/>
    <n v="420"/>
    <n v="15"/>
    <n v="186"/>
    <n v="151"/>
    <n v="38"/>
    <n v="15"/>
    <n v="3"/>
    <n v="5"/>
    <n v="3"/>
    <n v="13"/>
    <n v="3"/>
    <x v="0"/>
    <x v="0"/>
    <x v="0"/>
    <x v="0"/>
    <x v="0"/>
    <n v="0"/>
    <n v="3"/>
    <n v="11"/>
    <x v="1"/>
  </r>
  <r>
    <n v="195"/>
    <n v="1972"/>
    <x v="0"/>
    <s v="Single"/>
    <n v="38808"/>
    <n v="1"/>
    <n v="0"/>
    <d v="2012-08-26T00:00:00"/>
    <n v="21"/>
    <n v="125"/>
    <n v="17"/>
    <n v="52"/>
    <n v="3"/>
    <n v="19"/>
    <n v="30"/>
    <n v="4"/>
    <n v="5"/>
    <n v="1"/>
    <n v="4"/>
    <n v="8"/>
    <x v="1"/>
    <x v="0"/>
    <x v="0"/>
    <x v="0"/>
    <x v="0"/>
    <n v="0"/>
    <n v="3"/>
    <n v="11"/>
    <x v="0"/>
  </r>
  <r>
    <n v="635"/>
    <n v="1966"/>
    <x v="2"/>
    <s v="Married"/>
    <n v="57183"/>
    <n v="1"/>
    <n v="1"/>
    <d v="2013-03-19T00:00:00"/>
    <n v="51"/>
    <n v="464"/>
    <n v="5"/>
    <n v="64"/>
    <n v="7"/>
    <n v="0"/>
    <n v="70"/>
    <n v="8"/>
    <n v="9"/>
    <n v="1"/>
    <n v="7"/>
    <n v="8"/>
    <x v="0"/>
    <x v="0"/>
    <x v="0"/>
    <x v="0"/>
    <x v="0"/>
    <n v="0"/>
    <n v="3"/>
    <n v="11"/>
    <x v="1"/>
  </r>
  <r>
    <n v="7527"/>
    <n v="1968"/>
    <x v="2"/>
    <s v="Divorced"/>
    <n v="23748"/>
    <n v="1"/>
    <n v="0"/>
    <d v="2012-11-21T00:00:00"/>
    <n v="97"/>
    <n v="6"/>
    <n v="6"/>
    <n v="29"/>
    <n v="12"/>
    <n v="15"/>
    <n v="8"/>
    <n v="3"/>
    <n v="2"/>
    <n v="1"/>
    <n v="3"/>
    <n v="8"/>
    <x v="0"/>
    <x v="0"/>
    <x v="0"/>
    <x v="0"/>
    <x v="0"/>
    <n v="0"/>
    <n v="3"/>
    <n v="11"/>
    <x v="1"/>
  </r>
  <r>
    <n v="10319"/>
    <n v="1971"/>
    <x v="0"/>
    <s v="Married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x v="0"/>
    <x v="1"/>
    <x v="0"/>
    <x v="0"/>
    <x v="0"/>
    <n v="0"/>
    <n v="3"/>
    <n v="11"/>
    <x v="1"/>
  </r>
  <r>
    <n v="2296"/>
    <n v="1975"/>
    <x v="2"/>
    <s v="Married"/>
    <n v="37368"/>
    <n v="1"/>
    <n v="0"/>
    <d v="2013-12-16T00:00:00"/>
    <n v="4"/>
    <n v="3"/>
    <n v="2"/>
    <n v="11"/>
    <n v="2"/>
    <n v="2"/>
    <n v="10"/>
    <n v="1"/>
    <n v="1"/>
    <n v="0"/>
    <n v="2"/>
    <n v="6"/>
    <x v="1"/>
    <x v="0"/>
    <x v="0"/>
    <x v="0"/>
    <x v="0"/>
    <n v="0"/>
    <n v="3"/>
    <n v="11"/>
    <x v="1"/>
  </r>
  <r>
    <n v="10637"/>
    <n v="1964"/>
    <x v="0"/>
    <s v="Married"/>
    <n v="40800"/>
    <n v="1"/>
    <n v="2"/>
    <d v="2013-01-01T00:00:00"/>
    <n v="77"/>
    <n v="24"/>
    <n v="0"/>
    <n v="27"/>
    <n v="8"/>
    <n v="30"/>
    <n v="10"/>
    <n v="2"/>
    <n v="3"/>
    <n v="0"/>
    <n v="3"/>
    <n v="7"/>
    <x v="0"/>
    <x v="0"/>
    <x v="0"/>
    <x v="0"/>
    <x v="0"/>
    <n v="1"/>
    <n v="3"/>
    <n v="11"/>
    <x v="1"/>
  </r>
  <r>
    <n v="2931"/>
    <n v="1978"/>
    <x v="0"/>
    <s v="Divorced"/>
    <n v="71847"/>
    <n v="0"/>
    <n v="0"/>
    <d v="2012-09-21T00:00:00"/>
    <n v="95"/>
    <n v="737"/>
    <n v="21"/>
    <n v="106"/>
    <n v="55"/>
    <n v="63"/>
    <n v="210"/>
    <n v="0"/>
    <n v="6"/>
    <n v="7"/>
    <n v="9"/>
    <n v="3"/>
    <x v="0"/>
    <x v="0"/>
    <x v="0"/>
    <x v="1"/>
    <x v="0"/>
    <n v="0"/>
    <n v="3"/>
    <n v="11"/>
    <x v="1"/>
  </r>
  <r>
    <n v="907"/>
    <n v="1975"/>
    <x v="0"/>
    <s v="Married"/>
    <n v="46149"/>
    <n v="0"/>
    <n v="1"/>
    <d v="2013-11-29T00:00:00"/>
    <n v="36"/>
    <n v="254"/>
    <n v="6"/>
    <n v="71"/>
    <n v="4"/>
    <n v="0"/>
    <n v="27"/>
    <n v="5"/>
    <n v="5"/>
    <n v="1"/>
    <n v="7"/>
    <n v="5"/>
    <x v="0"/>
    <x v="0"/>
    <x v="0"/>
    <x v="0"/>
    <x v="0"/>
    <n v="0"/>
    <n v="3"/>
    <n v="11"/>
    <x v="1"/>
  </r>
  <r>
    <n v="3698"/>
    <n v="1983"/>
    <x v="0"/>
    <s v="Together"/>
    <n v="78687"/>
    <n v="0"/>
    <n v="0"/>
    <d v="2012-08-09T00:00:00"/>
    <n v="13"/>
    <n v="817"/>
    <n v="185"/>
    <n v="687"/>
    <n v="145"/>
    <n v="55"/>
    <n v="241"/>
    <n v="1"/>
    <n v="4"/>
    <n v="6"/>
    <n v="8"/>
    <n v="2"/>
    <x v="0"/>
    <x v="0"/>
    <x v="1"/>
    <x v="0"/>
    <x v="0"/>
    <n v="0"/>
    <n v="3"/>
    <n v="11"/>
    <x v="0"/>
  </r>
  <r>
    <n v="9516"/>
    <n v="1971"/>
    <x v="4"/>
    <s v="Divorced"/>
    <n v="49118"/>
    <n v="0"/>
    <n v="0"/>
    <d v="2012-08-18T00:00:00"/>
    <n v="90"/>
    <n v="620"/>
    <n v="54"/>
    <n v="239"/>
    <n v="99"/>
    <n v="98"/>
    <n v="119"/>
    <n v="2"/>
    <n v="9"/>
    <n v="7"/>
    <n v="10"/>
    <n v="7"/>
    <x v="0"/>
    <x v="1"/>
    <x v="0"/>
    <x v="0"/>
    <x v="1"/>
    <n v="0"/>
    <n v="3"/>
    <n v="11"/>
    <x v="0"/>
  </r>
  <r>
    <n v="679"/>
    <n v="1957"/>
    <x v="1"/>
    <s v="Married"/>
    <n v="37633"/>
    <n v="1"/>
    <n v="1"/>
    <d v="2012-09-20T00:00:00"/>
    <n v="49"/>
    <n v="13"/>
    <n v="4"/>
    <n v="20"/>
    <n v="0"/>
    <n v="0"/>
    <n v="1"/>
    <n v="2"/>
    <n v="1"/>
    <n v="0"/>
    <n v="3"/>
    <n v="9"/>
    <x v="0"/>
    <x v="0"/>
    <x v="0"/>
    <x v="0"/>
    <x v="0"/>
    <n v="0"/>
    <n v="3"/>
    <n v="11"/>
    <x v="1"/>
  </r>
  <r>
    <n v="7384"/>
    <n v="1951"/>
    <x v="2"/>
    <s v="Together"/>
    <n v="39767"/>
    <n v="0"/>
    <n v="0"/>
    <d v="2013-07-21T00:00:00"/>
    <n v="18"/>
    <n v="113"/>
    <n v="61"/>
    <n v="204"/>
    <n v="34"/>
    <n v="26"/>
    <n v="47"/>
    <n v="2"/>
    <n v="7"/>
    <n v="1"/>
    <n v="7"/>
    <n v="8"/>
    <x v="0"/>
    <x v="0"/>
    <x v="0"/>
    <x v="0"/>
    <x v="0"/>
    <n v="0"/>
    <n v="3"/>
    <n v="11"/>
    <x v="1"/>
  </r>
  <r>
    <n v="5043"/>
    <n v="1951"/>
    <x v="3"/>
    <s v="Married"/>
    <n v="26997"/>
    <n v="0"/>
    <n v="0"/>
    <d v="2012-11-05T00:00:00"/>
    <n v="89"/>
    <n v="7"/>
    <n v="23"/>
    <n v="78"/>
    <n v="133"/>
    <n v="49"/>
    <n v="144"/>
    <n v="2"/>
    <n v="4"/>
    <n v="2"/>
    <n v="5"/>
    <n v="7"/>
    <x v="0"/>
    <x v="0"/>
    <x v="0"/>
    <x v="0"/>
    <x v="0"/>
    <n v="0"/>
    <n v="3"/>
    <n v="11"/>
    <x v="1"/>
  </r>
  <r>
    <n v="5267"/>
    <n v="1970"/>
    <x v="0"/>
    <s v="Divorced"/>
    <n v="33986"/>
    <n v="1"/>
    <n v="0"/>
    <d v="2013-03-14T00:00:00"/>
    <n v="43"/>
    <n v="16"/>
    <n v="2"/>
    <n v="18"/>
    <n v="2"/>
    <n v="1"/>
    <n v="5"/>
    <n v="1"/>
    <n v="1"/>
    <n v="0"/>
    <n v="3"/>
    <n v="7"/>
    <x v="0"/>
    <x v="0"/>
    <x v="0"/>
    <x v="0"/>
    <x v="0"/>
    <n v="0"/>
    <n v="3"/>
    <n v="11"/>
    <x v="1"/>
  </r>
  <r>
    <n v="339"/>
    <n v="1972"/>
    <x v="1"/>
    <s v="Married"/>
    <n v="57091"/>
    <n v="0"/>
    <n v="1"/>
    <d v="2012-11-23T00:00:00"/>
    <n v="82"/>
    <n v="462"/>
    <n v="0"/>
    <n v="24"/>
    <n v="6"/>
    <n v="0"/>
    <n v="4"/>
    <n v="2"/>
    <n v="9"/>
    <n v="2"/>
    <n v="5"/>
    <n v="7"/>
    <x v="0"/>
    <x v="1"/>
    <x v="0"/>
    <x v="0"/>
    <x v="0"/>
    <n v="0"/>
    <n v="3"/>
    <n v="11"/>
    <x v="0"/>
  </r>
  <r>
    <n v="2516"/>
    <n v="1969"/>
    <x v="4"/>
    <s v="Married"/>
    <n v="46831"/>
    <n v="1"/>
    <n v="1"/>
    <d v="2013-06-08T00:00:00"/>
    <n v="84"/>
    <n v="22"/>
    <n v="2"/>
    <n v="10"/>
    <n v="6"/>
    <n v="4"/>
    <n v="34"/>
    <n v="2"/>
    <n v="1"/>
    <n v="2"/>
    <n v="2"/>
    <n v="4"/>
    <x v="0"/>
    <x v="0"/>
    <x v="0"/>
    <x v="0"/>
    <x v="0"/>
    <n v="0"/>
    <n v="3"/>
    <n v="11"/>
    <x v="1"/>
  </r>
  <r>
    <n v="9010"/>
    <n v="1972"/>
    <x v="2"/>
    <s v="Married"/>
    <n v="83151"/>
    <n v="0"/>
    <n v="0"/>
    <d v="2013-02-10T00:00:00"/>
    <n v="80"/>
    <n v="968"/>
    <n v="147"/>
    <n v="842"/>
    <n v="137"/>
    <n v="42"/>
    <n v="210"/>
    <n v="1"/>
    <n v="5"/>
    <n v="7"/>
    <n v="10"/>
    <n v="2"/>
    <x v="1"/>
    <x v="0"/>
    <x v="1"/>
    <x v="1"/>
    <x v="0"/>
    <n v="0"/>
    <n v="3"/>
    <n v="11"/>
    <x v="0"/>
  </r>
  <r>
    <n v="378"/>
    <n v="1971"/>
    <x v="0"/>
    <s v="Married"/>
    <n v="52531"/>
    <n v="0"/>
    <n v="0"/>
    <d v="2012-12-30T00:00:00"/>
    <n v="68"/>
    <n v="283"/>
    <n v="112"/>
    <n v="151"/>
    <n v="51"/>
    <n v="72"/>
    <n v="125"/>
    <n v="2"/>
    <n v="7"/>
    <n v="2"/>
    <n v="10"/>
    <n v="6"/>
    <x v="0"/>
    <x v="0"/>
    <x v="0"/>
    <x v="0"/>
    <x v="0"/>
    <n v="0"/>
    <n v="3"/>
    <n v="11"/>
    <x v="1"/>
  </r>
  <r>
    <n v="4808"/>
    <n v="1956"/>
    <x v="0"/>
    <s v="Married"/>
    <n v="15759"/>
    <n v="0"/>
    <n v="0"/>
    <d v="2013-09-05T00:00:00"/>
    <n v="12"/>
    <n v="1"/>
    <n v="2"/>
    <n v="5"/>
    <n v="6"/>
    <n v="0"/>
    <n v="3"/>
    <n v="1"/>
    <n v="1"/>
    <n v="0"/>
    <n v="2"/>
    <n v="7"/>
    <x v="0"/>
    <x v="0"/>
    <x v="0"/>
    <x v="0"/>
    <x v="0"/>
    <n v="0"/>
    <n v="3"/>
    <n v="11"/>
    <x v="1"/>
  </r>
  <r>
    <n v="5068"/>
    <n v="1971"/>
    <x v="0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x v="0"/>
    <x v="0"/>
    <x v="0"/>
    <x v="0"/>
    <x v="0"/>
    <n v="0"/>
    <n v="3"/>
    <n v="11"/>
    <x v="1"/>
  </r>
  <r>
    <n v="7628"/>
    <n v="1973"/>
    <x v="4"/>
    <s v="Married"/>
    <n v="43050"/>
    <n v="1"/>
    <n v="0"/>
    <d v="2014-03-18T00:00:00"/>
    <n v="10"/>
    <n v="30"/>
    <n v="5"/>
    <n v="24"/>
    <n v="6"/>
    <n v="3"/>
    <n v="8"/>
    <n v="2"/>
    <n v="2"/>
    <n v="0"/>
    <n v="4"/>
    <n v="5"/>
    <x v="0"/>
    <x v="0"/>
    <x v="0"/>
    <x v="0"/>
    <x v="0"/>
    <n v="0"/>
    <n v="3"/>
    <n v="11"/>
    <x v="1"/>
  </r>
  <r>
    <n v="7128"/>
    <n v="1977"/>
    <x v="1"/>
    <s v="Single"/>
    <n v="42997"/>
    <n v="1"/>
    <n v="1"/>
    <d v="2013-12-07T00:00:00"/>
    <n v="91"/>
    <n v="4"/>
    <n v="0"/>
    <n v="5"/>
    <n v="0"/>
    <n v="1"/>
    <n v="5"/>
    <n v="1"/>
    <n v="1"/>
    <n v="0"/>
    <n v="2"/>
    <n v="7"/>
    <x v="0"/>
    <x v="0"/>
    <x v="0"/>
    <x v="0"/>
    <x v="0"/>
    <n v="0"/>
    <n v="3"/>
    <n v="11"/>
    <x v="1"/>
  </r>
  <r>
    <n v="2811"/>
    <n v="1963"/>
    <x v="1"/>
    <s v="Single"/>
    <n v="48918"/>
    <n v="1"/>
    <n v="1"/>
    <d v="2014-04-12T00:00:00"/>
    <n v="21"/>
    <n v="52"/>
    <n v="0"/>
    <n v="9"/>
    <n v="0"/>
    <n v="0"/>
    <n v="1"/>
    <n v="2"/>
    <n v="1"/>
    <n v="0"/>
    <n v="4"/>
    <n v="4"/>
    <x v="0"/>
    <x v="0"/>
    <x v="0"/>
    <x v="0"/>
    <x v="0"/>
    <n v="0"/>
    <n v="3"/>
    <n v="11"/>
    <x v="1"/>
  </r>
  <r>
    <n v="3551"/>
    <n v="1954"/>
    <x v="2"/>
    <s v="Together"/>
    <n v="60033"/>
    <n v="0"/>
    <n v="1"/>
    <d v="2014-03-29T00:00:00"/>
    <n v="28"/>
    <n v="62"/>
    <n v="1"/>
    <n v="57"/>
    <n v="19"/>
    <n v="11"/>
    <n v="48"/>
    <n v="2"/>
    <n v="2"/>
    <n v="1"/>
    <n v="5"/>
    <n v="2"/>
    <x v="0"/>
    <x v="0"/>
    <x v="0"/>
    <x v="0"/>
    <x v="0"/>
    <n v="0"/>
    <n v="3"/>
    <n v="11"/>
    <x v="1"/>
  </r>
  <r>
    <n v="1663"/>
    <n v="1978"/>
    <x v="1"/>
    <s v="Together"/>
    <n v="34043"/>
    <n v="1"/>
    <n v="0"/>
    <d v="2013-10-25T00:00:00"/>
    <n v="97"/>
    <n v="20"/>
    <n v="2"/>
    <n v="14"/>
    <n v="3"/>
    <n v="0"/>
    <n v="10"/>
    <n v="1"/>
    <n v="2"/>
    <n v="0"/>
    <n v="2"/>
    <n v="9"/>
    <x v="0"/>
    <x v="0"/>
    <x v="0"/>
    <x v="0"/>
    <x v="0"/>
    <n v="0"/>
    <n v="3"/>
    <n v="11"/>
    <x v="1"/>
  </r>
  <r>
    <n v="5543"/>
    <n v="1966"/>
    <x v="0"/>
    <s v="Together"/>
    <n v="57811"/>
    <n v="0"/>
    <n v="1"/>
    <d v="2013-06-24T00:00:00"/>
    <n v="49"/>
    <n v="545"/>
    <n v="7"/>
    <n v="114"/>
    <n v="37"/>
    <n v="21"/>
    <n v="78"/>
    <n v="5"/>
    <n v="7"/>
    <n v="2"/>
    <n v="11"/>
    <n v="5"/>
    <x v="0"/>
    <x v="1"/>
    <x v="0"/>
    <x v="0"/>
    <x v="0"/>
    <n v="0"/>
    <n v="3"/>
    <n v="11"/>
    <x v="1"/>
  </r>
  <r>
    <n v="1577"/>
    <n v="1946"/>
    <x v="0"/>
    <s v="Married"/>
    <n v="78569"/>
    <n v="0"/>
    <n v="0"/>
    <d v="2014-02-19T00:00:00"/>
    <n v="14"/>
    <n v="558"/>
    <n v="79"/>
    <n v="622"/>
    <n v="207"/>
    <n v="175"/>
    <n v="95"/>
    <n v="1"/>
    <n v="4"/>
    <n v="6"/>
    <n v="4"/>
    <n v="1"/>
    <x v="0"/>
    <x v="0"/>
    <x v="1"/>
    <x v="0"/>
    <x v="0"/>
    <n v="0"/>
    <n v="3"/>
    <n v="11"/>
    <x v="0"/>
  </r>
  <r>
    <n v="10641"/>
    <n v="1978"/>
    <x v="0"/>
    <s v="Single"/>
    <n v="7500"/>
    <n v="1"/>
    <n v="1"/>
    <d v="2012-12-27T00:00:00"/>
    <n v="5"/>
    <n v="6"/>
    <n v="5"/>
    <n v="4"/>
    <n v="13"/>
    <n v="4"/>
    <n v="25"/>
    <n v="4"/>
    <n v="2"/>
    <n v="1"/>
    <n v="3"/>
    <n v="6"/>
    <x v="0"/>
    <x v="0"/>
    <x v="0"/>
    <x v="0"/>
    <x v="0"/>
    <n v="0"/>
    <n v="3"/>
    <n v="11"/>
    <x v="1"/>
  </r>
  <r>
    <n v="5336"/>
    <n v="1971"/>
    <x v="2"/>
    <s v="Together"/>
    <n v="157733"/>
    <n v="1"/>
    <n v="0"/>
    <d v="2013-06-04T00:00:00"/>
    <n v="37"/>
    <n v="39"/>
    <n v="1"/>
    <n v="9"/>
    <n v="2"/>
    <n v="0"/>
    <n v="8"/>
    <n v="0"/>
    <n v="1"/>
    <n v="0"/>
    <n v="1"/>
    <n v="1"/>
    <x v="0"/>
    <x v="0"/>
    <x v="0"/>
    <x v="0"/>
    <x v="0"/>
    <n v="0"/>
    <n v="3"/>
    <n v="11"/>
    <x v="1"/>
  </r>
  <r>
    <n v="6024"/>
    <n v="1953"/>
    <x v="0"/>
    <s v="Together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x v="0"/>
    <x v="1"/>
    <x v="1"/>
    <x v="1"/>
    <x v="0"/>
    <n v="0"/>
    <n v="3"/>
    <n v="11"/>
    <x v="0"/>
  </r>
  <r>
    <n v="1878"/>
    <n v="1985"/>
    <x v="4"/>
    <s v="Married"/>
    <n v="23148"/>
    <n v="0"/>
    <n v="0"/>
    <d v="2014-02-18T00:00:00"/>
    <n v="83"/>
    <n v="4"/>
    <n v="6"/>
    <n v="8"/>
    <n v="6"/>
    <n v="3"/>
    <n v="10"/>
    <n v="1"/>
    <n v="2"/>
    <n v="0"/>
    <n v="3"/>
    <n v="7"/>
    <x v="0"/>
    <x v="0"/>
    <x v="0"/>
    <x v="0"/>
    <x v="0"/>
    <n v="0"/>
    <n v="3"/>
    <n v="11"/>
    <x v="1"/>
  </r>
  <r>
    <n v="3099"/>
    <n v="1970"/>
    <x v="0"/>
    <s v="Divorced"/>
    <n v="44267"/>
    <n v="1"/>
    <n v="1"/>
    <d v="2013-02-25T00:00:00"/>
    <n v="48"/>
    <n v="183"/>
    <n v="5"/>
    <n v="65"/>
    <n v="3"/>
    <n v="5"/>
    <n v="49"/>
    <n v="5"/>
    <n v="5"/>
    <n v="2"/>
    <n v="4"/>
    <n v="9"/>
    <x v="0"/>
    <x v="0"/>
    <x v="0"/>
    <x v="0"/>
    <x v="0"/>
    <n v="0"/>
    <n v="3"/>
    <n v="11"/>
    <x v="1"/>
  </r>
  <r>
    <n v="6055"/>
    <n v="1979"/>
    <x v="0"/>
    <s v="Married"/>
    <n v="71626"/>
    <n v="0"/>
    <n v="0"/>
    <d v="2012-11-01T00:00:00"/>
    <n v="94"/>
    <n v="546"/>
    <n v="72"/>
    <n v="376"/>
    <n v="94"/>
    <n v="145"/>
    <n v="72"/>
    <n v="1"/>
    <n v="5"/>
    <n v="5"/>
    <n v="8"/>
    <n v="3"/>
    <x v="0"/>
    <x v="1"/>
    <x v="0"/>
    <x v="0"/>
    <x v="0"/>
    <n v="0"/>
    <n v="3"/>
    <n v="11"/>
    <x v="1"/>
  </r>
  <r>
    <n v="5841"/>
    <n v="1966"/>
    <x v="0"/>
    <s v="Together"/>
    <n v="60894"/>
    <n v="0"/>
    <n v="1"/>
    <d v="2013-06-28T00:00:00"/>
    <n v="61"/>
    <n v="606"/>
    <n v="7"/>
    <n v="155"/>
    <n v="10"/>
    <n v="0"/>
    <n v="54"/>
    <n v="5"/>
    <n v="10"/>
    <n v="3"/>
    <n v="8"/>
    <n v="7"/>
    <x v="0"/>
    <x v="0"/>
    <x v="0"/>
    <x v="0"/>
    <x v="0"/>
    <n v="0"/>
    <n v="3"/>
    <n v="11"/>
    <x v="1"/>
  </r>
  <r>
    <n v="3972"/>
    <n v="1976"/>
    <x v="0"/>
    <s v="Together"/>
    <n v="50200"/>
    <n v="1"/>
    <n v="1"/>
    <d v="2013-04-03T00:00:00"/>
    <n v="70"/>
    <n v="266"/>
    <n v="6"/>
    <n v="51"/>
    <n v="8"/>
    <n v="6"/>
    <n v="64"/>
    <n v="6"/>
    <n v="7"/>
    <n v="1"/>
    <n v="5"/>
    <n v="8"/>
    <x v="0"/>
    <x v="0"/>
    <x v="0"/>
    <x v="0"/>
    <x v="0"/>
    <n v="0"/>
    <n v="3"/>
    <n v="11"/>
    <x v="1"/>
  </r>
  <r>
    <n v="4394"/>
    <n v="1965"/>
    <x v="1"/>
    <s v="Married"/>
    <n v="81051"/>
    <n v="0"/>
    <n v="0"/>
    <d v="2014-05-23T00:00:00"/>
    <n v="43"/>
    <n v="1142"/>
    <n v="29"/>
    <n v="249"/>
    <n v="38"/>
    <n v="29"/>
    <n v="14"/>
    <n v="1"/>
    <n v="5"/>
    <n v="5"/>
    <n v="12"/>
    <n v="2"/>
    <x v="0"/>
    <x v="1"/>
    <x v="1"/>
    <x v="0"/>
    <x v="0"/>
    <n v="0"/>
    <n v="3"/>
    <n v="11"/>
    <x v="1"/>
  </r>
  <r>
    <n v="5758"/>
    <n v="1982"/>
    <x v="0"/>
    <s v="Married"/>
    <n v="65169"/>
    <n v="0"/>
    <n v="0"/>
    <d v="2014-01-14T00:00:00"/>
    <n v="23"/>
    <n v="1074"/>
    <n v="0"/>
    <n v="69"/>
    <n v="0"/>
    <n v="0"/>
    <n v="46"/>
    <n v="1"/>
    <n v="10"/>
    <n v="4"/>
    <n v="13"/>
    <n v="6"/>
    <x v="1"/>
    <x v="0"/>
    <x v="1"/>
    <x v="1"/>
    <x v="1"/>
    <n v="0"/>
    <n v="3"/>
    <n v="11"/>
    <x v="0"/>
  </r>
  <r>
    <n v="6658"/>
    <n v="1972"/>
    <x v="0"/>
    <s v="Together"/>
    <n v="59868"/>
    <n v="0"/>
    <n v="1"/>
    <d v="2013-07-22T00:00:00"/>
    <n v="37"/>
    <n v="771"/>
    <n v="51"/>
    <n v="154"/>
    <n v="54"/>
    <n v="10"/>
    <n v="154"/>
    <n v="7"/>
    <n v="11"/>
    <n v="2"/>
    <n v="12"/>
    <n v="6"/>
    <x v="0"/>
    <x v="0"/>
    <x v="0"/>
    <x v="0"/>
    <x v="0"/>
    <n v="0"/>
    <n v="3"/>
    <n v="11"/>
    <x v="1"/>
  </r>
  <r>
    <n v="4603"/>
    <n v="1960"/>
    <x v="1"/>
    <s v="Married"/>
    <n v="65695"/>
    <n v="0"/>
    <n v="1"/>
    <d v="2014-01-31T00:00:00"/>
    <n v="50"/>
    <n v="371"/>
    <n v="32"/>
    <n v="189"/>
    <n v="0"/>
    <n v="58"/>
    <n v="6"/>
    <n v="2"/>
    <n v="5"/>
    <n v="4"/>
    <n v="10"/>
    <n v="4"/>
    <x v="0"/>
    <x v="0"/>
    <x v="0"/>
    <x v="0"/>
    <x v="0"/>
    <n v="0"/>
    <n v="3"/>
    <n v="11"/>
    <x v="1"/>
  </r>
  <r>
    <n v="8427"/>
    <n v="1956"/>
    <x v="2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x v="0"/>
    <x v="0"/>
    <x v="0"/>
    <x v="0"/>
    <x v="0"/>
    <n v="0"/>
    <n v="3"/>
    <n v="11"/>
    <x v="1"/>
  </r>
  <r>
    <n v="10260"/>
    <n v="1965"/>
    <x v="2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x v="0"/>
    <x v="0"/>
    <x v="0"/>
    <x v="0"/>
    <x v="0"/>
    <n v="0"/>
    <n v="3"/>
    <n v="11"/>
    <x v="1"/>
  </r>
  <r>
    <n v="7143"/>
    <n v="1955"/>
    <x v="4"/>
    <s v="Together"/>
    <n v="74805"/>
    <n v="0"/>
    <n v="1"/>
    <d v="2013-11-06T00:00:00"/>
    <n v="14"/>
    <n v="209"/>
    <n v="162"/>
    <n v="209"/>
    <n v="41"/>
    <n v="162"/>
    <n v="37"/>
    <n v="5"/>
    <n v="4"/>
    <n v="7"/>
    <n v="10"/>
    <n v="2"/>
    <x v="0"/>
    <x v="0"/>
    <x v="0"/>
    <x v="0"/>
    <x v="0"/>
    <n v="0"/>
    <n v="3"/>
    <n v="11"/>
    <x v="1"/>
  </r>
  <r>
    <n v="8789"/>
    <n v="1989"/>
    <x v="4"/>
    <s v="Married"/>
    <n v="59060"/>
    <n v="1"/>
    <n v="0"/>
    <d v="2014-01-11T00:00:00"/>
    <n v="77"/>
    <n v="35"/>
    <n v="40"/>
    <n v="111"/>
    <n v="36"/>
    <n v="40"/>
    <n v="12"/>
    <n v="3"/>
    <n v="3"/>
    <n v="1"/>
    <n v="7"/>
    <n v="4"/>
    <x v="0"/>
    <x v="0"/>
    <x v="0"/>
    <x v="0"/>
    <x v="0"/>
    <n v="0"/>
    <n v="3"/>
    <n v="11"/>
    <x v="1"/>
  </r>
  <r>
    <n v="6197"/>
    <n v="1962"/>
    <x v="1"/>
    <s v="Single"/>
    <n v="27238"/>
    <n v="1"/>
    <n v="1"/>
    <d v="2013-04-20T00:00:00"/>
    <n v="39"/>
    <n v="37"/>
    <n v="0"/>
    <n v="17"/>
    <n v="0"/>
    <n v="0"/>
    <n v="3"/>
    <n v="3"/>
    <n v="3"/>
    <n v="0"/>
    <n v="3"/>
    <n v="9"/>
    <x v="0"/>
    <x v="0"/>
    <x v="0"/>
    <x v="0"/>
    <x v="0"/>
    <n v="0"/>
    <n v="3"/>
    <n v="11"/>
    <x v="1"/>
  </r>
  <r>
    <n v="4554"/>
    <n v="1965"/>
    <x v="0"/>
    <s v="Together"/>
    <n v="47009"/>
    <n v="0"/>
    <n v="1"/>
    <d v="2013-10-01T00:00:00"/>
    <n v="89"/>
    <n v="171"/>
    <n v="45"/>
    <n v="73"/>
    <n v="59"/>
    <n v="10"/>
    <n v="90"/>
    <n v="4"/>
    <n v="3"/>
    <n v="2"/>
    <n v="8"/>
    <n v="4"/>
    <x v="0"/>
    <x v="0"/>
    <x v="0"/>
    <x v="0"/>
    <x v="0"/>
    <n v="0"/>
    <n v="3"/>
    <n v="11"/>
    <x v="1"/>
  </r>
  <r>
    <n v="4937"/>
    <n v="1973"/>
    <x v="4"/>
    <s v="Married"/>
    <n v="46094"/>
    <n v="1"/>
    <n v="1"/>
    <d v="2014-06-10T00:00:00"/>
    <n v="62"/>
    <n v="12"/>
    <n v="2"/>
    <n v="20"/>
    <n v="3"/>
    <n v="2"/>
    <n v="5"/>
    <n v="1"/>
    <n v="1"/>
    <n v="0"/>
    <n v="3"/>
    <n v="7"/>
    <x v="0"/>
    <x v="0"/>
    <x v="0"/>
    <x v="0"/>
    <x v="0"/>
    <n v="0"/>
    <n v="3"/>
    <n v="11"/>
    <x v="1"/>
  </r>
  <r>
    <n v="1920"/>
    <n v="1972"/>
    <x v="0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x v="0"/>
    <x v="0"/>
    <x v="0"/>
    <x v="0"/>
    <x v="0"/>
    <n v="0"/>
    <n v="3"/>
    <n v="11"/>
    <x v="1"/>
  </r>
  <r>
    <n v="8749"/>
    <n v="1984"/>
    <x v="0"/>
    <s v="Together"/>
    <n v="37235"/>
    <n v="1"/>
    <n v="0"/>
    <d v="2014-02-01T00:00:00"/>
    <n v="68"/>
    <n v="20"/>
    <n v="2"/>
    <n v="9"/>
    <n v="4"/>
    <n v="6"/>
    <n v="20"/>
    <n v="1"/>
    <n v="1"/>
    <n v="1"/>
    <n v="2"/>
    <n v="4"/>
    <x v="0"/>
    <x v="0"/>
    <x v="0"/>
    <x v="0"/>
    <x v="0"/>
    <n v="0"/>
    <n v="3"/>
    <n v="11"/>
    <x v="1"/>
  </r>
  <r>
    <n v="1650"/>
    <n v="1960"/>
    <x v="2"/>
    <s v="Married"/>
    <n v="81843"/>
    <n v="0"/>
    <n v="0"/>
    <d v="2013-04-22T00:00:00"/>
    <n v="13"/>
    <n v="779"/>
    <n v="86"/>
    <n v="537"/>
    <n v="34"/>
    <n v="69"/>
    <n v="138"/>
    <n v="1"/>
    <n v="5"/>
    <n v="9"/>
    <n v="12"/>
    <n v="3"/>
    <x v="0"/>
    <x v="0"/>
    <x v="0"/>
    <x v="0"/>
    <x v="0"/>
    <n v="0"/>
    <n v="3"/>
    <n v="11"/>
    <x v="1"/>
  </r>
  <r>
    <n v="10377"/>
    <n v="1958"/>
    <x v="2"/>
    <s v="Together"/>
    <n v="46692"/>
    <n v="0"/>
    <n v="1"/>
    <d v="2013-06-06T00:00:00"/>
    <n v="37"/>
    <n v="170"/>
    <n v="6"/>
    <n v="97"/>
    <n v="24"/>
    <n v="12"/>
    <n v="88"/>
    <n v="3"/>
    <n v="6"/>
    <n v="1"/>
    <n v="5"/>
    <n v="6"/>
    <x v="0"/>
    <x v="0"/>
    <x v="0"/>
    <x v="0"/>
    <x v="0"/>
    <n v="0"/>
    <n v="3"/>
    <n v="11"/>
    <x v="1"/>
  </r>
  <r>
    <n v="9206"/>
    <n v="1968"/>
    <x v="0"/>
    <s v="Together"/>
    <n v="77382"/>
    <n v="0"/>
    <n v="1"/>
    <d v="2014-01-07T00:00:00"/>
    <n v="36"/>
    <n v="491"/>
    <n v="48"/>
    <n v="231"/>
    <n v="112"/>
    <n v="105"/>
    <n v="134"/>
    <n v="2"/>
    <n v="5"/>
    <n v="7"/>
    <n v="12"/>
    <n v="1"/>
    <x v="0"/>
    <x v="0"/>
    <x v="1"/>
    <x v="0"/>
    <x v="0"/>
    <n v="0"/>
    <n v="3"/>
    <n v="11"/>
    <x v="1"/>
  </r>
  <r>
    <n v="10971"/>
    <n v="1977"/>
    <x v="0"/>
    <s v="Single"/>
    <n v="37774"/>
    <n v="2"/>
    <n v="0"/>
    <d v="2012-09-03T00:00:00"/>
    <n v="28"/>
    <n v="173"/>
    <n v="8"/>
    <n v="107"/>
    <n v="7"/>
    <n v="2"/>
    <n v="176"/>
    <n v="4"/>
    <n v="7"/>
    <n v="2"/>
    <n v="3"/>
    <n v="9"/>
    <x v="1"/>
    <x v="0"/>
    <x v="0"/>
    <x v="0"/>
    <x v="0"/>
    <n v="1"/>
    <n v="3"/>
    <n v="11"/>
    <x v="0"/>
  </r>
  <r>
    <n v="6398"/>
    <n v="1974"/>
    <x v="3"/>
    <s v="Married"/>
    <n v="18393"/>
    <n v="1"/>
    <n v="0"/>
    <d v="2014-03-29T00:00:00"/>
    <n v="2"/>
    <n v="7"/>
    <n v="10"/>
    <n v="13"/>
    <n v="16"/>
    <n v="0"/>
    <n v="4"/>
    <n v="2"/>
    <n v="3"/>
    <n v="0"/>
    <n v="3"/>
    <n v="8"/>
    <x v="0"/>
    <x v="0"/>
    <x v="0"/>
    <x v="0"/>
    <x v="0"/>
    <n v="0"/>
    <n v="3"/>
    <n v="11"/>
    <x v="1"/>
  </r>
  <r>
    <n v="9212"/>
    <n v="1962"/>
    <x v="2"/>
    <s v="Married"/>
    <n v="72828"/>
    <n v="0"/>
    <n v="1"/>
    <d v="2013-02-14T00:00:00"/>
    <n v="17"/>
    <n v="1205"/>
    <n v="0"/>
    <n v="235"/>
    <n v="19"/>
    <n v="14"/>
    <n v="205"/>
    <n v="6"/>
    <n v="6"/>
    <n v="3"/>
    <n v="13"/>
    <n v="7"/>
    <x v="0"/>
    <x v="0"/>
    <x v="0"/>
    <x v="0"/>
    <x v="0"/>
    <n v="0"/>
    <n v="3"/>
    <n v="11"/>
    <x v="1"/>
  </r>
  <r>
    <n v="7937"/>
    <n v="1982"/>
    <x v="0"/>
    <s v="Married"/>
    <n v="24711"/>
    <n v="0"/>
    <n v="0"/>
    <d v="2014-04-18T00:00:00"/>
    <n v="86"/>
    <n v="10"/>
    <n v="7"/>
    <n v="25"/>
    <n v="6"/>
    <n v="3"/>
    <n v="7"/>
    <n v="1"/>
    <n v="3"/>
    <n v="0"/>
    <n v="3"/>
    <n v="7"/>
    <x v="0"/>
    <x v="0"/>
    <x v="0"/>
    <x v="0"/>
    <x v="0"/>
    <n v="0"/>
    <n v="3"/>
    <n v="11"/>
    <x v="1"/>
  </r>
  <r>
    <n v="839"/>
    <n v="1975"/>
    <x v="1"/>
    <s v="Married"/>
    <n v="45503"/>
    <n v="1"/>
    <n v="0"/>
    <d v="2013-09-25T00:00:00"/>
    <n v="54"/>
    <n v="97"/>
    <n v="4"/>
    <n v="44"/>
    <n v="6"/>
    <n v="1"/>
    <n v="18"/>
    <n v="1"/>
    <n v="3"/>
    <n v="1"/>
    <n v="4"/>
    <n v="5"/>
    <x v="0"/>
    <x v="0"/>
    <x v="0"/>
    <x v="0"/>
    <x v="0"/>
    <n v="0"/>
    <n v="3"/>
    <n v="11"/>
    <x v="1"/>
  </r>
  <r>
    <n v="4246"/>
    <n v="1982"/>
    <x v="2"/>
    <s v="Single"/>
    <n v="6560"/>
    <n v="0"/>
    <n v="0"/>
    <d v="2013-12-12T00:00:00"/>
    <n v="2"/>
    <n v="67"/>
    <n v="11"/>
    <n v="26"/>
    <n v="4"/>
    <n v="3"/>
    <n v="262"/>
    <n v="0"/>
    <n v="1"/>
    <n v="0"/>
    <n v="1"/>
    <n v="17"/>
    <x v="0"/>
    <x v="0"/>
    <x v="0"/>
    <x v="0"/>
    <x v="0"/>
    <n v="0"/>
    <n v="3"/>
    <n v="11"/>
    <x v="1"/>
  </r>
  <r>
    <n v="158"/>
    <n v="1945"/>
    <x v="1"/>
    <s v="Together"/>
    <n v="71604"/>
    <n v="0"/>
    <n v="0"/>
    <d v="2013-11-17T00:00:00"/>
    <n v="3"/>
    <n v="345"/>
    <n v="53"/>
    <n v="528"/>
    <n v="98"/>
    <n v="75"/>
    <n v="97"/>
    <n v="1"/>
    <n v="8"/>
    <n v="3"/>
    <n v="5"/>
    <n v="4"/>
    <x v="1"/>
    <x v="0"/>
    <x v="0"/>
    <x v="0"/>
    <x v="0"/>
    <n v="0"/>
    <n v="3"/>
    <n v="11"/>
    <x v="0"/>
  </r>
  <r>
    <n v="4832"/>
    <n v="1979"/>
    <x v="0"/>
    <s v="Married"/>
    <n v="27244"/>
    <n v="1"/>
    <n v="0"/>
    <d v="2014-03-07T00:00:00"/>
    <n v="84"/>
    <n v="6"/>
    <n v="5"/>
    <n v="17"/>
    <n v="3"/>
    <n v="24"/>
    <n v="46"/>
    <n v="2"/>
    <n v="2"/>
    <n v="2"/>
    <n v="2"/>
    <n v="7"/>
    <x v="0"/>
    <x v="0"/>
    <x v="0"/>
    <x v="0"/>
    <x v="0"/>
    <n v="0"/>
    <n v="3"/>
    <n v="11"/>
    <x v="1"/>
  </r>
  <r>
    <n v="5621"/>
    <n v="1969"/>
    <x v="0"/>
    <s v="Married"/>
    <n v="48752"/>
    <n v="1"/>
    <n v="1"/>
    <d v="2012-12-12T00:00:00"/>
    <n v="8"/>
    <n v="73"/>
    <n v="57"/>
    <n v="100"/>
    <n v="71"/>
    <n v="15"/>
    <n v="0"/>
    <n v="5"/>
    <n v="6"/>
    <n v="1"/>
    <n v="5"/>
    <n v="9"/>
    <x v="0"/>
    <x v="0"/>
    <x v="0"/>
    <x v="0"/>
    <x v="0"/>
    <n v="0"/>
    <n v="3"/>
    <n v="11"/>
    <x v="0"/>
  </r>
  <r>
    <n v="1945"/>
    <n v="1962"/>
    <x v="0"/>
    <s v="Married"/>
    <n v="71434"/>
    <n v="0"/>
    <n v="1"/>
    <d v="2013-09-18T00:00:00"/>
    <n v="4"/>
    <n v="711"/>
    <n v="36"/>
    <n v="217"/>
    <n v="172"/>
    <n v="96"/>
    <n v="168"/>
    <n v="3"/>
    <n v="7"/>
    <n v="4"/>
    <n v="7"/>
    <n v="4"/>
    <x v="0"/>
    <x v="1"/>
    <x v="0"/>
    <x v="1"/>
    <x v="0"/>
    <n v="0"/>
    <n v="3"/>
    <n v="11"/>
    <x v="1"/>
  </r>
  <r>
    <n v="5147"/>
    <n v="1948"/>
    <x v="0"/>
    <s v="Single"/>
    <n v="90842"/>
    <n v="0"/>
    <n v="0"/>
    <d v="2013-07-29T00:00:00"/>
    <n v="57"/>
    <n v="774"/>
    <n v="70"/>
    <n v="118"/>
    <n v="182"/>
    <n v="187"/>
    <n v="93"/>
    <n v="1"/>
    <n v="4"/>
    <n v="9"/>
    <n v="13"/>
    <n v="1"/>
    <x v="0"/>
    <x v="0"/>
    <x v="0"/>
    <x v="0"/>
    <x v="0"/>
    <n v="0"/>
    <n v="3"/>
    <n v="11"/>
    <x v="1"/>
  </r>
  <r>
    <n v="2535"/>
    <n v="1978"/>
    <x v="2"/>
    <s v="Married"/>
    <n v="88097"/>
    <n v="1"/>
    <n v="0"/>
    <d v="2012-08-18T00:00:00"/>
    <n v="24"/>
    <n v="163"/>
    <n v="0"/>
    <n v="480"/>
    <n v="0"/>
    <n v="126"/>
    <n v="75"/>
    <n v="1"/>
    <n v="6"/>
    <n v="5"/>
    <n v="8"/>
    <n v="9"/>
    <x v="0"/>
    <x v="1"/>
    <x v="1"/>
    <x v="1"/>
    <x v="0"/>
    <n v="0"/>
    <n v="3"/>
    <n v="11"/>
    <x v="0"/>
  </r>
  <r>
    <n v="11039"/>
    <n v="1975"/>
    <x v="0"/>
    <s v="Married"/>
    <n v="51948"/>
    <n v="0"/>
    <n v="1"/>
    <d v="2013-09-17T00:00:00"/>
    <n v="51"/>
    <n v="82"/>
    <n v="33"/>
    <n v="54"/>
    <n v="71"/>
    <n v="30"/>
    <n v="41"/>
    <n v="2"/>
    <n v="5"/>
    <n v="2"/>
    <n v="4"/>
    <n v="5"/>
    <x v="0"/>
    <x v="0"/>
    <x v="0"/>
    <x v="0"/>
    <x v="0"/>
    <n v="0"/>
    <n v="3"/>
    <n v="11"/>
    <x v="1"/>
  </r>
  <r>
    <n v="9495"/>
    <n v="1982"/>
    <x v="0"/>
    <s v="Together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x v="0"/>
    <x v="0"/>
    <x v="0"/>
    <x v="0"/>
    <x v="0"/>
    <n v="0"/>
    <n v="3"/>
    <n v="11"/>
    <x v="1"/>
  </r>
  <r>
    <n v="9635"/>
    <n v="1983"/>
    <x v="2"/>
    <s v="Married"/>
    <n v="35876"/>
    <n v="0"/>
    <n v="0"/>
    <d v="2014-04-20T00:00:00"/>
    <n v="13"/>
    <n v="66"/>
    <n v="2"/>
    <n v="40"/>
    <n v="4"/>
    <n v="3"/>
    <n v="14"/>
    <n v="1"/>
    <n v="3"/>
    <n v="1"/>
    <n v="3"/>
    <n v="6"/>
    <x v="0"/>
    <x v="0"/>
    <x v="0"/>
    <x v="0"/>
    <x v="0"/>
    <n v="0"/>
    <n v="3"/>
    <n v="11"/>
    <x v="1"/>
  </r>
  <r>
    <n v="2173"/>
    <n v="1952"/>
    <x v="0"/>
    <s v="Widow"/>
    <n v="40049"/>
    <n v="0"/>
    <n v="1"/>
    <d v="2013-10-16T00:00:00"/>
    <n v="23"/>
    <n v="13"/>
    <n v="6"/>
    <n v="7"/>
    <n v="0"/>
    <n v="3"/>
    <n v="3"/>
    <n v="1"/>
    <n v="1"/>
    <n v="0"/>
    <n v="3"/>
    <n v="6"/>
    <x v="0"/>
    <x v="0"/>
    <x v="0"/>
    <x v="0"/>
    <x v="0"/>
    <n v="0"/>
    <n v="3"/>
    <n v="11"/>
    <x v="1"/>
  </r>
  <r>
    <n v="942"/>
    <n v="1982"/>
    <x v="0"/>
    <s v="Single"/>
    <n v="39660"/>
    <n v="1"/>
    <n v="0"/>
    <d v="2012-08-08T00:00:00"/>
    <n v="36"/>
    <n v="139"/>
    <n v="13"/>
    <n v="78"/>
    <n v="20"/>
    <n v="13"/>
    <n v="36"/>
    <n v="3"/>
    <n v="7"/>
    <n v="1"/>
    <n v="3"/>
    <n v="9"/>
    <x v="0"/>
    <x v="0"/>
    <x v="0"/>
    <x v="0"/>
    <x v="0"/>
    <n v="0"/>
    <n v="3"/>
    <n v="11"/>
    <x v="0"/>
  </r>
  <r>
    <n v="9386"/>
    <n v="1962"/>
    <x v="0"/>
    <s v="Together"/>
    <n v="50127"/>
    <n v="0"/>
    <n v="1"/>
    <d v="2014-05-29T00:00:00"/>
    <n v="88"/>
    <n v="274"/>
    <n v="0"/>
    <n v="21"/>
    <n v="4"/>
    <n v="6"/>
    <n v="15"/>
    <n v="1"/>
    <n v="5"/>
    <n v="1"/>
    <n v="6"/>
    <n v="6"/>
    <x v="0"/>
    <x v="1"/>
    <x v="0"/>
    <x v="0"/>
    <x v="0"/>
    <n v="0"/>
    <n v="3"/>
    <n v="11"/>
    <x v="1"/>
  </r>
  <r>
    <n v="5510"/>
    <n v="1977"/>
    <x v="2"/>
    <s v="Married"/>
    <n v="43263"/>
    <n v="0"/>
    <n v="1"/>
    <d v="2012-11-21T00:00:00"/>
    <n v="2"/>
    <n v="262"/>
    <n v="6"/>
    <n v="61"/>
    <n v="0"/>
    <n v="10"/>
    <n v="102"/>
    <n v="3"/>
    <n v="5"/>
    <n v="2"/>
    <n v="6"/>
    <n v="5"/>
    <x v="0"/>
    <x v="0"/>
    <x v="0"/>
    <x v="0"/>
    <x v="0"/>
    <n v="0"/>
    <n v="3"/>
    <n v="11"/>
    <x v="1"/>
  </r>
  <r>
    <n v="873"/>
    <n v="1949"/>
    <x v="2"/>
    <s v="Married"/>
    <n v="62845"/>
    <n v="1"/>
    <n v="1"/>
    <d v="2012-10-01T00:00:00"/>
    <n v="3"/>
    <n v="1099"/>
    <n v="0"/>
    <n v="45"/>
    <n v="0"/>
    <n v="0"/>
    <n v="34"/>
    <n v="11"/>
    <n v="3"/>
    <n v="4"/>
    <n v="10"/>
    <n v="8"/>
    <x v="0"/>
    <x v="1"/>
    <x v="0"/>
    <x v="0"/>
    <x v="0"/>
    <n v="0"/>
    <n v="3"/>
    <n v="11"/>
    <x v="0"/>
  </r>
  <r>
    <n v="2253"/>
    <n v="1990"/>
    <x v="0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x v="0"/>
    <x v="0"/>
    <x v="0"/>
    <x v="0"/>
    <x v="0"/>
    <n v="0"/>
    <n v="3"/>
    <n v="11"/>
    <x v="1"/>
  </r>
  <r>
    <n v="5181"/>
    <n v="1982"/>
    <x v="3"/>
    <s v="Single"/>
    <n v="24367"/>
    <n v="1"/>
    <n v="0"/>
    <d v="2013-03-20T00:00:00"/>
    <n v="58"/>
    <n v="2"/>
    <n v="4"/>
    <n v="2"/>
    <n v="0"/>
    <n v="11"/>
    <n v="5"/>
    <n v="1"/>
    <n v="1"/>
    <n v="0"/>
    <n v="2"/>
    <n v="9"/>
    <x v="0"/>
    <x v="0"/>
    <x v="0"/>
    <x v="0"/>
    <x v="0"/>
    <n v="0"/>
    <n v="3"/>
    <n v="11"/>
    <x v="1"/>
  </r>
  <r>
    <n v="979"/>
    <n v="1975"/>
    <x v="0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x v="0"/>
    <x v="0"/>
    <x v="0"/>
    <x v="0"/>
    <x v="0"/>
    <n v="0"/>
    <n v="3"/>
    <n v="11"/>
    <x v="1"/>
  </r>
  <r>
    <n v="10390"/>
    <n v="1959"/>
    <x v="4"/>
    <s v="Married"/>
    <n v="26887"/>
    <n v="0"/>
    <n v="1"/>
    <d v="2013-02-10T00:00:00"/>
    <n v="27"/>
    <n v="6"/>
    <n v="7"/>
    <n v="4"/>
    <n v="3"/>
    <n v="4"/>
    <n v="6"/>
    <n v="1"/>
    <n v="1"/>
    <n v="0"/>
    <n v="3"/>
    <n v="6"/>
    <x v="0"/>
    <x v="0"/>
    <x v="0"/>
    <x v="0"/>
    <x v="0"/>
    <n v="0"/>
    <n v="3"/>
    <n v="11"/>
    <x v="1"/>
  </r>
  <r>
    <n v="4698"/>
    <n v="1983"/>
    <x v="1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x v="0"/>
    <x v="0"/>
    <x v="0"/>
    <x v="0"/>
    <x v="0"/>
    <n v="0"/>
    <n v="3"/>
    <n v="11"/>
    <x v="1"/>
  </r>
  <r>
    <n v="7793"/>
    <n v="1976"/>
    <x v="0"/>
    <s v="Together"/>
    <n v="62061"/>
    <n v="0"/>
    <n v="1"/>
    <d v="2013-08-31T00:00:00"/>
    <n v="12"/>
    <n v="641"/>
    <n v="7"/>
    <n v="84"/>
    <n v="0"/>
    <n v="30"/>
    <n v="38"/>
    <n v="3"/>
    <n v="10"/>
    <n v="4"/>
    <n v="7"/>
    <n v="6"/>
    <x v="0"/>
    <x v="1"/>
    <x v="0"/>
    <x v="0"/>
    <x v="0"/>
    <n v="0"/>
    <n v="3"/>
    <n v="11"/>
    <x v="1"/>
  </r>
  <r>
    <n v="1745"/>
    <n v="1962"/>
    <x v="1"/>
    <s v="Divorced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x v="0"/>
    <x v="0"/>
    <x v="0"/>
    <x v="0"/>
    <x v="0"/>
    <n v="0"/>
    <n v="3"/>
    <n v="11"/>
    <x v="0"/>
  </r>
  <r>
    <n v="10590"/>
    <n v="1956"/>
    <x v="1"/>
    <s v="Together"/>
    <n v="76542"/>
    <n v="0"/>
    <n v="0"/>
    <d v="2013-03-30T00:00:00"/>
    <n v="91"/>
    <n v="794"/>
    <n v="73"/>
    <n v="573"/>
    <n v="0"/>
    <n v="29"/>
    <n v="14"/>
    <n v="1"/>
    <n v="4"/>
    <n v="8"/>
    <n v="10"/>
    <n v="2"/>
    <x v="0"/>
    <x v="0"/>
    <x v="0"/>
    <x v="0"/>
    <x v="0"/>
    <n v="0"/>
    <n v="3"/>
    <n v="11"/>
    <x v="1"/>
  </r>
  <r>
    <n v="5080"/>
    <n v="1993"/>
    <x v="0"/>
    <s v="Single"/>
    <n v="70515"/>
    <n v="0"/>
    <n v="0"/>
    <d v="2013-10-21T00:00:00"/>
    <n v="12"/>
    <n v="420"/>
    <n v="0"/>
    <n v="452"/>
    <n v="182"/>
    <n v="64"/>
    <n v="140"/>
    <n v="1"/>
    <n v="6"/>
    <n v="6"/>
    <n v="4"/>
    <n v="2"/>
    <x v="0"/>
    <x v="0"/>
    <x v="0"/>
    <x v="0"/>
    <x v="0"/>
    <n v="0"/>
    <n v="3"/>
    <n v="11"/>
    <x v="0"/>
  </r>
  <r>
    <n v="8369"/>
    <n v="1987"/>
    <x v="0"/>
    <s v="Together"/>
    <n v="18227"/>
    <n v="1"/>
    <n v="0"/>
    <d v="2012-11-08T00:00:00"/>
    <n v="21"/>
    <n v="1"/>
    <n v="2"/>
    <n v="7"/>
    <n v="4"/>
    <n v="3"/>
    <n v="11"/>
    <n v="1"/>
    <n v="0"/>
    <n v="1"/>
    <n v="2"/>
    <n v="8"/>
    <x v="0"/>
    <x v="0"/>
    <x v="0"/>
    <x v="0"/>
    <x v="0"/>
    <n v="0"/>
    <n v="3"/>
    <n v="11"/>
    <x v="1"/>
  </r>
  <r>
    <n v="5232"/>
    <n v="1965"/>
    <x v="0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x v="0"/>
    <x v="0"/>
    <x v="0"/>
    <x v="0"/>
    <x v="0"/>
    <n v="0"/>
    <n v="3"/>
    <n v="11"/>
    <x v="1"/>
  </r>
  <r>
    <n v="2407"/>
    <n v="1982"/>
    <x v="0"/>
    <s v="Married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x v="0"/>
    <x v="0"/>
    <x v="1"/>
    <x v="0"/>
    <x v="0"/>
    <n v="0"/>
    <n v="3"/>
    <n v="11"/>
    <x v="0"/>
  </r>
  <r>
    <n v="3834"/>
    <n v="1962"/>
    <x v="0"/>
    <s v="Single"/>
    <n v="69627"/>
    <n v="0"/>
    <n v="1"/>
    <d v="2013-03-17T00:00:00"/>
    <n v="35"/>
    <n v="231"/>
    <n v="161"/>
    <n v="215"/>
    <n v="171"/>
    <n v="30"/>
    <n v="53"/>
    <n v="2"/>
    <n v="8"/>
    <n v="2"/>
    <n v="11"/>
    <n v="5"/>
    <x v="0"/>
    <x v="0"/>
    <x v="0"/>
    <x v="0"/>
    <x v="0"/>
    <n v="0"/>
    <n v="3"/>
    <n v="11"/>
    <x v="1"/>
  </r>
  <r>
    <n v="7912"/>
    <n v="1978"/>
    <x v="0"/>
    <s v="Married"/>
    <n v="38136"/>
    <n v="1"/>
    <n v="0"/>
    <d v="2013-04-22T00:00:00"/>
    <n v="69"/>
    <n v="8"/>
    <n v="15"/>
    <n v="27"/>
    <n v="0"/>
    <n v="20"/>
    <n v="33"/>
    <n v="2"/>
    <n v="3"/>
    <n v="1"/>
    <n v="2"/>
    <n v="8"/>
    <x v="1"/>
    <x v="0"/>
    <x v="0"/>
    <x v="0"/>
    <x v="0"/>
    <n v="0"/>
    <n v="3"/>
    <n v="11"/>
    <x v="1"/>
  </r>
  <r>
    <n v="7712"/>
    <n v="1946"/>
    <x v="1"/>
    <s v="Single"/>
    <n v="62159"/>
    <n v="0"/>
    <n v="0"/>
    <d v="2014-04-28T00:00:00"/>
    <n v="68"/>
    <n v="182"/>
    <n v="17"/>
    <n v="259"/>
    <n v="77"/>
    <n v="70"/>
    <n v="29"/>
    <n v="1"/>
    <n v="6"/>
    <n v="2"/>
    <n v="10"/>
    <n v="4"/>
    <x v="0"/>
    <x v="0"/>
    <x v="0"/>
    <x v="0"/>
    <x v="0"/>
    <n v="0"/>
    <n v="3"/>
    <n v="11"/>
    <x v="1"/>
  </r>
  <r>
    <n v="1065"/>
    <n v="1963"/>
    <x v="0"/>
    <s v="Single"/>
    <n v="80695"/>
    <n v="0"/>
    <n v="0"/>
    <d v="2013-12-29T00:00:00"/>
    <n v="85"/>
    <n v="557"/>
    <n v="129"/>
    <n v="984"/>
    <n v="193"/>
    <n v="37"/>
    <n v="18"/>
    <n v="1"/>
    <n v="5"/>
    <n v="8"/>
    <n v="5"/>
    <n v="2"/>
    <x v="0"/>
    <x v="0"/>
    <x v="0"/>
    <x v="0"/>
    <x v="0"/>
    <n v="0"/>
    <n v="3"/>
    <n v="11"/>
    <x v="1"/>
  </r>
  <r>
    <n v="7275"/>
    <n v="1971"/>
    <x v="2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x v="0"/>
    <x v="0"/>
    <x v="0"/>
    <x v="0"/>
    <x v="0"/>
    <n v="0"/>
    <n v="3"/>
    <n v="11"/>
    <x v="1"/>
  </r>
  <r>
    <n v="1343"/>
    <n v="1968"/>
    <x v="0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x v="0"/>
    <x v="0"/>
    <x v="0"/>
    <x v="0"/>
    <x v="0"/>
    <n v="0"/>
    <n v="3"/>
    <n v="11"/>
    <x v="1"/>
  </r>
  <r>
    <n v="1384"/>
    <n v="1992"/>
    <x v="3"/>
    <s v="Married"/>
    <n v="17256"/>
    <n v="1"/>
    <n v="0"/>
    <d v="2013-11-23T00:00:00"/>
    <n v="10"/>
    <n v="6"/>
    <n v="4"/>
    <n v="14"/>
    <n v="8"/>
    <n v="8"/>
    <n v="22"/>
    <n v="2"/>
    <n v="2"/>
    <n v="1"/>
    <n v="2"/>
    <n v="8"/>
    <x v="1"/>
    <x v="0"/>
    <x v="0"/>
    <x v="0"/>
    <x v="0"/>
    <n v="0"/>
    <n v="3"/>
    <n v="11"/>
    <x v="1"/>
  </r>
  <r>
    <n v="9967"/>
    <n v="1974"/>
    <x v="0"/>
    <s v="Divorced"/>
    <n v="53034"/>
    <n v="1"/>
    <n v="1"/>
    <d v="2013-05-30T00:00:00"/>
    <n v="30"/>
    <n v="160"/>
    <n v="15"/>
    <n v="196"/>
    <n v="15"/>
    <n v="11"/>
    <n v="50"/>
    <n v="8"/>
    <n v="6"/>
    <n v="1"/>
    <n v="7"/>
    <n v="8"/>
    <x v="0"/>
    <x v="0"/>
    <x v="0"/>
    <x v="0"/>
    <x v="0"/>
    <n v="0"/>
    <n v="3"/>
    <n v="11"/>
    <x v="1"/>
  </r>
  <r>
    <n v="6181"/>
    <n v="1950"/>
    <x v="4"/>
    <s v="Together"/>
    <n v="52203"/>
    <n v="0"/>
    <n v="0"/>
    <d v="2012-07-31T00:00:00"/>
    <n v="36"/>
    <n v="488"/>
    <n v="21"/>
    <n v="238"/>
    <n v="56"/>
    <n v="108"/>
    <n v="28"/>
    <n v="1"/>
    <n v="8"/>
    <n v="7"/>
    <n v="11"/>
    <n v="6"/>
    <x v="0"/>
    <x v="0"/>
    <x v="0"/>
    <x v="0"/>
    <x v="0"/>
    <n v="0"/>
    <n v="3"/>
    <n v="11"/>
    <x v="1"/>
  </r>
  <r>
    <n v="10507"/>
    <n v="1977"/>
    <x v="4"/>
    <s v="Divorced"/>
    <n v="59601"/>
    <n v="0"/>
    <n v="1"/>
    <d v="2013-07-25T00:00:00"/>
    <n v="14"/>
    <n v="691"/>
    <n v="7"/>
    <n v="69"/>
    <n v="0"/>
    <n v="7"/>
    <n v="23"/>
    <n v="4"/>
    <n v="2"/>
    <n v="2"/>
    <n v="7"/>
    <n v="8"/>
    <x v="0"/>
    <x v="1"/>
    <x v="0"/>
    <x v="0"/>
    <x v="0"/>
    <n v="0"/>
    <n v="3"/>
    <n v="11"/>
    <x v="1"/>
  </r>
  <r>
    <n v="2674"/>
    <n v="1958"/>
    <x v="2"/>
    <s v="Single"/>
    <n v="75154"/>
    <n v="0"/>
    <n v="1"/>
    <d v="2012-09-04T00:00:00"/>
    <n v="79"/>
    <n v="543"/>
    <n v="10"/>
    <n v="205"/>
    <n v="160"/>
    <n v="143"/>
    <n v="82"/>
    <n v="1"/>
    <n v="6"/>
    <n v="3"/>
    <n v="6"/>
    <n v="3"/>
    <x v="0"/>
    <x v="0"/>
    <x v="0"/>
    <x v="0"/>
    <x v="0"/>
    <n v="0"/>
    <n v="3"/>
    <n v="11"/>
    <x v="0"/>
  </r>
  <r>
    <n v="2698"/>
    <n v="1976"/>
    <x v="0"/>
    <s v="Single"/>
    <n v="47025"/>
    <n v="0"/>
    <n v="1"/>
    <d v="2013-11-07T00:00:00"/>
    <n v="52"/>
    <n v="254"/>
    <n v="7"/>
    <n v="108"/>
    <n v="20"/>
    <n v="0"/>
    <n v="26"/>
    <n v="3"/>
    <n v="6"/>
    <n v="3"/>
    <n v="5"/>
    <n v="6"/>
    <x v="0"/>
    <x v="0"/>
    <x v="0"/>
    <x v="0"/>
    <x v="0"/>
    <n v="0"/>
    <n v="3"/>
    <n v="11"/>
    <x v="1"/>
  </r>
  <r>
    <n v="3231"/>
    <n v="1973"/>
    <x v="0"/>
    <s v="Married"/>
    <n v="37971"/>
    <n v="1"/>
    <n v="0"/>
    <d v="2013-11-25T00:00:00"/>
    <n v="97"/>
    <n v="5"/>
    <n v="4"/>
    <n v="10"/>
    <n v="2"/>
    <n v="2"/>
    <n v="7"/>
    <n v="1"/>
    <n v="1"/>
    <n v="0"/>
    <n v="3"/>
    <n v="8"/>
    <x v="0"/>
    <x v="0"/>
    <x v="0"/>
    <x v="0"/>
    <x v="0"/>
    <n v="0"/>
    <n v="3"/>
    <n v="11"/>
    <x v="1"/>
  </r>
  <r>
    <n v="4096"/>
    <n v="1968"/>
    <x v="2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x v="0"/>
    <x v="0"/>
    <x v="0"/>
    <x v="0"/>
    <x v="0"/>
    <n v="0"/>
    <n v="3"/>
    <n v="11"/>
    <x v="1"/>
  </r>
  <r>
    <n v="10476"/>
    <n v="1958"/>
    <x v="0"/>
    <s v="Married"/>
    <n v="67267"/>
    <n v="0"/>
    <n v="1"/>
    <d v="2014-05-13T00:00:00"/>
    <n v="0"/>
    <n v="134"/>
    <n v="11"/>
    <n v="59"/>
    <n v="15"/>
    <n v="2"/>
    <n v="30"/>
    <n v="1"/>
    <n v="3"/>
    <n v="2"/>
    <n v="5"/>
    <n v="2"/>
    <x v="0"/>
    <x v="0"/>
    <x v="0"/>
    <x v="0"/>
    <x v="0"/>
    <n v="0"/>
    <n v="3"/>
    <n v="11"/>
    <x v="1"/>
  </r>
  <r>
    <n v="5948"/>
    <n v="1975"/>
    <x v="0"/>
    <s v="Single"/>
    <n v="57338"/>
    <n v="0"/>
    <n v="1"/>
    <d v="2014-04-29T00:00:00"/>
    <n v="96"/>
    <n v="143"/>
    <n v="6"/>
    <n v="52"/>
    <n v="11"/>
    <n v="8"/>
    <n v="17"/>
    <n v="2"/>
    <n v="4"/>
    <n v="1"/>
    <n v="5"/>
    <n v="5"/>
    <x v="0"/>
    <x v="0"/>
    <x v="0"/>
    <x v="0"/>
    <x v="0"/>
    <n v="0"/>
    <n v="3"/>
    <n v="11"/>
    <x v="1"/>
  </r>
  <r>
    <n v="9140"/>
    <n v="1960"/>
    <x v="4"/>
    <s v="Together"/>
    <n v="50523"/>
    <n v="1"/>
    <n v="1"/>
    <d v="2013-12-25T00:00:00"/>
    <n v="89"/>
    <n v="51"/>
    <n v="4"/>
    <n v="24"/>
    <n v="4"/>
    <n v="7"/>
    <n v="1"/>
    <n v="2"/>
    <n v="2"/>
    <n v="0"/>
    <n v="4"/>
    <n v="6"/>
    <x v="0"/>
    <x v="0"/>
    <x v="0"/>
    <x v="0"/>
    <x v="0"/>
    <n v="0"/>
    <n v="3"/>
    <n v="11"/>
    <x v="1"/>
  </r>
  <r>
    <n v="10258"/>
    <n v="1965"/>
    <x v="2"/>
    <s v="Single"/>
    <n v="35791"/>
    <n v="2"/>
    <n v="1"/>
    <d v="2013-05-06T00:00:00"/>
    <n v="94"/>
    <n v="27"/>
    <n v="0"/>
    <n v="5"/>
    <n v="0"/>
    <n v="0"/>
    <n v="3"/>
    <n v="2"/>
    <n v="1"/>
    <n v="0"/>
    <n v="3"/>
    <n v="8"/>
    <x v="0"/>
    <x v="0"/>
    <x v="0"/>
    <x v="0"/>
    <x v="0"/>
    <n v="0"/>
    <n v="3"/>
    <n v="11"/>
    <x v="1"/>
  </r>
  <r>
    <n v="5675"/>
    <n v="1960"/>
    <x v="1"/>
    <s v="Divorced"/>
    <n v="50611"/>
    <n v="0"/>
    <n v="1"/>
    <d v="2012-10-04T00:00:00"/>
    <n v="98"/>
    <n v="459"/>
    <n v="0"/>
    <n v="24"/>
    <n v="6"/>
    <n v="0"/>
    <n v="4"/>
    <n v="6"/>
    <n v="4"/>
    <n v="5"/>
    <n v="7"/>
    <n v="6"/>
    <x v="0"/>
    <x v="1"/>
    <x v="0"/>
    <x v="0"/>
    <x v="0"/>
    <n v="0"/>
    <n v="3"/>
    <n v="11"/>
    <x v="1"/>
  </r>
  <r>
    <n v="4743"/>
    <n v="1969"/>
    <x v="1"/>
    <s v="Married"/>
    <n v="56242"/>
    <n v="0"/>
    <n v="1"/>
    <d v="2013-03-03T00:00:00"/>
    <n v="72"/>
    <n v="689"/>
    <n v="8"/>
    <n v="167"/>
    <n v="11"/>
    <n v="8"/>
    <n v="88"/>
    <n v="5"/>
    <n v="8"/>
    <n v="4"/>
    <n v="11"/>
    <n v="6"/>
    <x v="0"/>
    <x v="0"/>
    <x v="0"/>
    <x v="0"/>
    <x v="0"/>
    <n v="0"/>
    <n v="3"/>
    <n v="11"/>
    <x v="1"/>
  </r>
  <r>
    <n v="8805"/>
    <n v="1960"/>
    <x v="0"/>
    <s v="Single"/>
    <n v="48904"/>
    <n v="0"/>
    <n v="1"/>
    <d v="2012-12-02T00:00:00"/>
    <n v="1"/>
    <n v="283"/>
    <n v="10"/>
    <n v="38"/>
    <n v="0"/>
    <n v="13"/>
    <n v="27"/>
    <n v="4"/>
    <n v="7"/>
    <n v="2"/>
    <n v="4"/>
    <n v="8"/>
    <x v="0"/>
    <x v="0"/>
    <x v="0"/>
    <x v="0"/>
    <x v="0"/>
    <n v="0"/>
    <n v="3"/>
    <n v="11"/>
    <x v="1"/>
  </r>
  <r>
    <n v="1542"/>
    <n v="1975"/>
    <x v="0"/>
    <s v="Single"/>
    <n v="56243"/>
    <n v="1"/>
    <n v="2"/>
    <d v="2013-12-30T00:00:00"/>
    <n v="26"/>
    <n v="347"/>
    <n v="0"/>
    <n v="35"/>
    <n v="4"/>
    <n v="3"/>
    <n v="7"/>
    <n v="6"/>
    <n v="4"/>
    <n v="2"/>
    <n v="8"/>
    <n v="5"/>
    <x v="0"/>
    <x v="0"/>
    <x v="0"/>
    <x v="0"/>
    <x v="0"/>
    <n v="0"/>
    <n v="3"/>
    <n v="11"/>
    <x v="1"/>
  </r>
  <r>
    <n v="6770"/>
    <n v="1985"/>
    <x v="0"/>
    <s v="Married"/>
    <n v="21355"/>
    <n v="1"/>
    <n v="0"/>
    <d v="2013-08-20T00:00:00"/>
    <n v="5"/>
    <n v="5"/>
    <n v="13"/>
    <n v="14"/>
    <n v="0"/>
    <n v="5"/>
    <n v="31"/>
    <n v="2"/>
    <n v="2"/>
    <n v="1"/>
    <n v="2"/>
    <n v="6"/>
    <x v="1"/>
    <x v="0"/>
    <x v="0"/>
    <x v="0"/>
    <x v="0"/>
    <n v="0"/>
    <n v="3"/>
    <n v="11"/>
    <x v="0"/>
  </r>
  <r>
    <n v="8773"/>
    <n v="1971"/>
    <x v="2"/>
    <s v="Together"/>
    <n v="57420"/>
    <n v="0"/>
    <n v="1"/>
    <d v="2013-06-25T00:00:00"/>
    <n v="22"/>
    <n v="280"/>
    <n v="0"/>
    <n v="18"/>
    <n v="0"/>
    <n v="0"/>
    <n v="24"/>
    <n v="3"/>
    <n v="5"/>
    <n v="1"/>
    <n v="6"/>
    <n v="7"/>
    <x v="0"/>
    <x v="1"/>
    <x v="0"/>
    <x v="0"/>
    <x v="0"/>
    <n v="0"/>
    <n v="3"/>
    <n v="11"/>
    <x v="1"/>
  </r>
  <r>
    <n v="10475"/>
    <n v="1970"/>
    <x v="2"/>
    <s v="Together"/>
    <n v="51381.5"/>
    <n v="0"/>
    <n v="1"/>
    <d v="2013-04-01T00:00:00"/>
    <n v="39"/>
    <n v="187"/>
    <n v="5"/>
    <n v="65"/>
    <n v="26"/>
    <n v="20"/>
    <n v="14"/>
    <n v="2"/>
    <n v="4"/>
    <n v="2"/>
    <n v="6"/>
    <n v="5"/>
    <x v="0"/>
    <x v="0"/>
    <x v="0"/>
    <x v="0"/>
    <x v="0"/>
    <n v="0"/>
    <n v="3"/>
    <n v="11"/>
    <x v="1"/>
  </r>
  <r>
    <n v="10420"/>
    <n v="1955"/>
    <x v="2"/>
    <s v="Divorced"/>
    <n v="46390"/>
    <n v="0"/>
    <n v="1"/>
    <d v="2014-05-05T00:00:00"/>
    <n v="56"/>
    <n v="95"/>
    <n v="14"/>
    <n v="64"/>
    <n v="2"/>
    <n v="9"/>
    <n v="38"/>
    <n v="1"/>
    <n v="4"/>
    <n v="2"/>
    <n v="3"/>
    <n v="7"/>
    <x v="0"/>
    <x v="0"/>
    <x v="0"/>
    <x v="0"/>
    <x v="0"/>
    <n v="0"/>
    <n v="3"/>
    <n v="11"/>
    <x v="1"/>
  </r>
  <r>
    <n v="7514"/>
    <n v="1956"/>
    <x v="4"/>
    <s v="Together"/>
    <n v="54342"/>
    <n v="1"/>
    <n v="1"/>
    <d v="2013-07-03T00:00:00"/>
    <n v="74"/>
    <n v="84"/>
    <n v="10"/>
    <n v="34"/>
    <n v="11"/>
    <n v="10"/>
    <n v="28"/>
    <n v="4"/>
    <n v="3"/>
    <n v="1"/>
    <n v="4"/>
    <n v="6"/>
    <x v="0"/>
    <x v="0"/>
    <x v="0"/>
    <x v="0"/>
    <x v="0"/>
    <n v="0"/>
    <n v="3"/>
    <n v="11"/>
    <x v="1"/>
  </r>
  <r>
    <n v="2902"/>
    <n v="1958"/>
    <x v="0"/>
    <s v="Together"/>
    <n v="51381.5"/>
    <n v="1"/>
    <n v="1"/>
    <d v="2012-09-03T00:00:00"/>
    <n v="87"/>
    <n v="19"/>
    <n v="4"/>
    <n v="12"/>
    <n v="2"/>
    <n v="2"/>
    <n v="6"/>
    <n v="1"/>
    <n v="1"/>
    <n v="0"/>
    <n v="3"/>
    <n v="5"/>
    <x v="0"/>
    <x v="0"/>
    <x v="0"/>
    <x v="0"/>
    <x v="0"/>
    <n v="0"/>
    <n v="3"/>
    <n v="11"/>
    <x v="1"/>
  </r>
  <r>
    <n v="4345"/>
    <n v="1964"/>
    <x v="4"/>
    <s v="Single"/>
    <n v="51381.5"/>
    <n v="1"/>
    <n v="1"/>
    <d v="2014-01-12T00:00:00"/>
    <n v="49"/>
    <n v="5"/>
    <n v="1"/>
    <n v="9"/>
    <n v="2"/>
    <n v="0"/>
    <n v="4"/>
    <n v="1"/>
    <n v="1"/>
    <n v="0"/>
    <n v="2"/>
    <n v="7"/>
    <x v="0"/>
    <x v="0"/>
    <x v="0"/>
    <x v="0"/>
    <x v="0"/>
    <n v="0"/>
    <n v="3"/>
    <n v="11"/>
    <x v="1"/>
  </r>
  <r>
    <n v="793"/>
    <n v="1973"/>
    <x v="0"/>
    <s v="Married"/>
    <n v="20895"/>
    <n v="1"/>
    <n v="0"/>
    <d v="2012-10-06T00:00:00"/>
    <n v="24"/>
    <n v="18"/>
    <n v="3"/>
    <n v="17"/>
    <n v="3"/>
    <n v="0"/>
    <n v="4"/>
    <n v="1"/>
    <n v="2"/>
    <n v="0"/>
    <n v="3"/>
    <n v="9"/>
    <x v="0"/>
    <x v="0"/>
    <x v="0"/>
    <x v="0"/>
    <x v="0"/>
    <n v="0"/>
    <n v="3"/>
    <n v="11"/>
    <x v="1"/>
  </r>
  <r>
    <n v="10909"/>
    <n v="1948"/>
    <x v="0"/>
    <s v="Married"/>
    <n v="92344"/>
    <n v="0"/>
    <n v="0"/>
    <d v="2014-01-15T00:00:00"/>
    <n v="9"/>
    <n v="992"/>
    <n v="24"/>
    <n v="694"/>
    <n v="51"/>
    <n v="19"/>
    <n v="119"/>
    <n v="0"/>
    <n v="5"/>
    <n v="10"/>
    <n v="5"/>
    <n v="1"/>
    <x v="1"/>
    <x v="0"/>
    <x v="1"/>
    <x v="0"/>
    <x v="0"/>
    <n v="0"/>
    <n v="3"/>
    <n v="11"/>
    <x v="1"/>
  </r>
  <r>
    <n v="3769"/>
    <n v="1972"/>
    <x v="1"/>
    <s v="Together"/>
    <n v="51381.5"/>
    <n v="1"/>
    <n v="0"/>
    <d v="2014-03-02T00:00:00"/>
    <n v="17"/>
    <n v="25"/>
    <n v="1"/>
    <n v="13"/>
    <n v="0"/>
    <n v="0"/>
    <n v="3"/>
    <n v="1"/>
    <n v="1"/>
    <n v="0"/>
    <n v="3"/>
    <n v="7"/>
    <x v="0"/>
    <x v="0"/>
    <x v="0"/>
    <x v="0"/>
    <x v="0"/>
    <n v="0"/>
    <n v="3"/>
    <n v="11"/>
    <x v="1"/>
  </r>
  <r>
    <n v="8702"/>
    <n v="1976"/>
    <x v="4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x v="0"/>
    <x v="0"/>
    <x v="0"/>
    <x v="0"/>
    <x v="0"/>
    <n v="0"/>
    <n v="3"/>
    <n v="11"/>
    <x v="1"/>
  </r>
  <r>
    <n v="4791"/>
    <n v="1980"/>
    <x v="0"/>
    <s v="Together"/>
    <n v="44964"/>
    <n v="1"/>
    <n v="1"/>
    <d v="2012-12-16T00:00:00"/>
    <n v="35"/>
    <n v="19"/>
    <n v="1"/>
    <n v="17"/>
    <n v="2"/>
    <n v="0"/>
    <n v="2"/>
    <n v="1"/>
    <n v="1"/>
    <n v="0"/>
    <n v="3"/>
    <n v="8"/>
    <x v="0"/>
    <x v="0"/>
    <x v="0"/>
    <x v="0"/>
    <x v="0"/>
    <n v="0"/>
    <n v="3"/>
    <n v="11"/>
    <x v="1"/>
  </r>
  <r>
    <n v="2963"/>
    <n v="1979"/>
    <x v="0"/>
    <s v="Together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x v="0"/>
    <x v="0"/>
    <x v="0"/>
    <x v="0"/>
    <x v="0"/>
    <n v="0"/>
    <n v="3"/>
    <n v="11"/>
    <x v="1"/>
  </r>
  <r>
    <n v="8216"/>
    <n v="1972"/>
    <x v="2"/>
    <s v="Married"/>
    <n v="53761"/>
    <n v="1"/>
    <n v="1"/>
    <d v="2013-10-11T00:00:00"/>
    <n v="7"/>
    <n v="158"/>
    <n v="0"/>
    <n v="76"/>
    <n v="13"/>
    <n v="7"/>
    <n v="71"/>
    <n v="6"/>
    <n v="4"/>
    <n v="4"/>
    <n v="3"/>
    <n v="5"/>
    <x v="0"/>
    <x v="0"/>
    <x v="0"/>
    <x v="0"/>
    <x v="0"/>
    <n v="0"/>
    <n v="3"/>
    <n v="11"/>
    <x v="1"/>
  </r>
  <r>
    <n v="8140"/>
    <n v="1973"/>
    <x v="0"/>
    <s v="Together"/>
    <n v="22682"/>
    <n v="1"/>
    <n v="0"/>
    <d v="2013-10-03T00:00:00"/>
    <n v="51"/>
    <n v="10"/>
    <n v="14"/>
    <n v="29"/>
    <n v="4"/>
    <n v="2"/>
    <n v="36"/>
    <n v="3"/>
    <n v="2"/>
    <n v="1"/>
    <n v="4"/>
    <n v="4"/>
    <x v="0"/>
    <x v="0"/>
    <x v="0"/>
    <x v="0"/>
    <x v="0"/>
    <n v="0"/>
    <n v="3"/>
    <n v="11"/>
    <x v="1"/>
  </r>
  <r>
    <n v="10146"/>
    <n v="1972"/>
    <x v="1"/>
    <s v="Together"/>
    <n v="38887"/>
    <n v="1"/>
    <n v="0"/>
    <d v="2014-03-02T00:00:00"/>
    <n v="17"/>
    <n v="25"/>
    <n v="1"/>
    <n v="13"/>
    <n v="0"/>
    <n v="0"/>
    <n v="3"/>
    <n v="1"/>
    <n v="1"/>
    <n v="0"/>
    <n v="3"/>
    <n v="7"/>
    <x v="0"/>
    <x v="0"/>
    <x v="0"/>
    <x v="0"/>
    <x v="0"/>
    <n v="0"/>
    <n v="3"/>
    <n v="11"/>
    <x v="1"/>
  </r>
  <r>
    <n v="5289"/>
    <n v="1975"/>
    <x v="4"/>
    <s v="Single"/>
    <n v="41658"/>
    <n v="1"/>
    <n v="1"/>
    <d v="2012-11-09T00:00:00"/>
    <n v="30"/>
    <n v="8"/>
    <n v="4"/>
    <n v="12"/>
    <n v="15"/>
    <n v="4"/>
    <n v="29"/>
    <n v="2"/>
    <n v="1"/>
    <n v="1"/>
    <n v="2"/>
    <n v="4"/>
    <x v="0"/>
    <x v="0"/>
    <x v="0"/>
    <x v="0"/>
    <x v="0"/>
    <n v="0"/>
    <n v="3"/>
    <n v="11"/>
    <x v="1"/>
  </r>
  <r>
    <n v="2587"/>
    <n v="1972"/>
    <x v="1"/>
    <s v="Married"/>
    <n v="29791"/>
    <n v="1"/>
    <n v="0"/>
    <d v="2014-05-15T00:00:00"/>
    <n v="21"/>
    <n v="14"/>
    <n v="0"/>
    <n v="6"/>
    <n v="0"/>
    <n v="0"/>
    <n v="0"/>
    <n v="2"/>
    <n v="2"/>
    <n v="0"/>
    <n v="3"/>
    <n v="5"/>
    <x v="0"/>
    <x v="0"/>
    <x v="0"/>
    <x v="0"/>
    <x v="0"/>
    <n v="0"/>
    <n v="3"/>
    <n v="11"/>
    <x v="1"/>
  </r>
  <r>
    <n v="4405"/>
    <n v="1956"/>
    <x v="2"/>
    <s v="Married"/>
    <n v="63915"/>
    <n v="0"/>
    <n v="2"/>
    <d v="2013-07-30T00:00:00"/>
    <n v="2"/>
    <n v="622"/>
    <n v="7"/>
    <n v="115"/>
    <n v="30"/>
    <n v="0"/>
    <n v="15"/>
    <n v="2"/>
    <n v="6"/>
    <n v="3"/>
    <n v="12"/>
    <n v="5"/>
    <x v="0"/>
    <x v="0"/>
    <x v="0"/>
    <x v="0"/>
    <x v="0"/>
    <n v="0"/>
    <n v="3"/>
    <n v="11"/>
    <x v="1"/>
  </r>
  <r>
    <n v="8663"/>
    <n v="1974"/>
    <x v="0"/>
    <s v="Divorced"/>
    <n v="39996"/>
    <n v="1"/>
    <n v="1"/>
    <d v="2014-05-22T00:00:00"/>
    <n v="85"/>
    <n v="11"/>
    <n v="0"/>
    <n v="3"/>
    <n v="0"/>
    <n v="0"/>
    <n v="1"/>
    <n v="1"/>
    <n v="1"/>
    <n v="0"/>
    <n v="2"/>
    <n v="6"/>
    <x v="0"/>
    <x v="0"/>
    <x v="0"/>
    <x v="0"/>
    <x v="0"/>
    <n v="0"/>
    <n v="3"/>
    <n v="11"/>
    <x v="1"/>
  </r>
  <r>
    <n v="2589"/>
    <n v="1972"/>
    <x v="0"/>
    <s v="Divorced"/>
    <n v="26759"/>
    <n v="1"/>
    <n v="0"/>
    <d v="2014-02-07T00:00:00"/>
    <n v="65"/>
    <n v="25"/>
    <n v="3"/>
    <n v="16"/>
    <n v="8"/>
    <n v="5"/>
    <n v="2"/>
    <n v="2"/>
    <n v="2"/>
    <n v="1"/>
    <n v="3"/>
    <n v="6"/>
    <x v="0"/>
    <x v="0"/>
    <x v="0"/>
    <x v="0"/>
    <x v="0"/>
    <n v="0"/>
    <n v="3"/>
    <n v="11"/>
    <x v="1"/>
  </r>
  <r>
    <n v="3421"/>
    <n v="1968"/>
    <x v="2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x v="0"/>
    <x v="0"/>
    <x v="0"/>
    <x v="0"/>
    <x v="0"/>
    <n v="0"/>
    <n v="3"/>
    <n v="11"/>
    <x v="1"/>
  </r>
  <r>
    <n v="10490"/>
    <n v="1969"/>
    <x v="1"/>
    <s v="Married"/>
    <n v="51039"/>
    <n v="1"/>
    <n v="1"/>
    <d v="2012-12-10T00:00:00"/>
    <n v="11"/>
    <n v="100"/>
    <n v="64"/>
    <n v="79"/>
    <n v="65"/>
    <n v="0"/>
    <n v="109"/>
    <n v="2"/>
    <n v="6"/>
    <n v="2"/>
    <n v="4"/>
    <n v="7"/>
    <x v="0"/>
    <x v="0"/>
    <x v="0"/>
    <x v="0"/>
    <x v="0"/>
    <n v="0"/>
    <n v="3"/>
    <n v="11"/>
    <x v="1"/>
  </r>
  <r>
    <n v="4094"/>
    <n v="1961"/>
    <x v="0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x v="0"/>
    <x v="0"/>
    <x v="0"/>
    <x v="0"/>
    <x v="0"/>
    <n v="0"/>
    <n v="3"/>
    <n v="11"/>
    <x v="1"/>
  </r>
  <r>
    <n v="9958"/>
    <n v="1972"/>
    <x v="0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x v="0"/>
    <x v="0"/>
    <x v="0"/>
    <x v="0"/>
    <x v="0"/>
    <n v="0"/>
    <n v="3"/>
    <n v="11"/>
    <x v="1"/>
  </r>
  <r>
    <n v="2534"/>
    <n v="1953"/>
    <x v="0"/>
    <s v="Married"/>
    <n v="37716"/>
    <n v="0"/>
    <n v="1"/>
    <d v="2014-04-21T00:00:00"/>
    <n v="4"/>
    <n v="97"/>
    <n v="1"/>
    <n v="41"/>
    <n v="6"/>
    <n v="2"/>
    <n v="41"/>
    <n v="2"/>
    <n v="4"/>
    <n v="1"/>
    <n v="3"/>
    <n v="7"/>
    <x v="0"/>
    <x v="0"/>
    <x v="0"/>
    <x v="0"/>
    <x v="0"/>
    <n v="0"/>
    <n v="3"/>
    <n v="11"/>
    <x v="1"/>
  </r>
  <r>
    <n v="4188"/>
    <n v="1957"/>
    <x v="0"/>
    <s v="Single"/>
    <n v="36864"/>
    <n v="0"/>
    <n v="1"/>
    <d v="2012-08-13T00:00:00"/>
    <n v="53"/>
    <n v="204"/>
    <n v="5"/>
    <n v="39"/>
    <n v="17"/>
    <n v="0"/>
    <n v="89"/>
    <n v="3"/>
    <n v="5"/>
    <n v="2"/>
    <n v="4"/>
    <n v="8"/>
    <x v="0"/>
    <x v="0"/>
    <x v="0"/>
    <x v="0"/>
    <x v="0"/>
    <n v="0"/>
    <n v="3"/>
    <n v="11"/>
    <x v="0"/>
  </r>
  <r>
    <n v="6613"/>
    <n v="1970"/>
    <x v="2"/>
    <s v="Married"/>
    <n v="44511"/>
    <n v="1"/>
    <n v="0"/>
    <d v="2012-10-12T00:00:00"/>
    <n v="39"/>
    <n v="513"/>
    <n v="7"/>
    <n v="133"/>
    <n v="46"/>
    <n v="14"/>
    <n v="14"/>
    <n v="6"/>
    <n v="8"/>
    <n v="4"/>
    <n v="8"/>
    <n v="8"/>
    <x v="0"/>
    <x v="0"/>
    <x v="0"/>
    <x v="0"/>
    <x v="0"/>
    <n v="0"/>
    <n v="3"/>
    <n v="11"/>
    <x v="1"/>
  </r>
  <r>
    <n v="10827"/>
    <n v="1967"/>
    <x v="1"/>
    <s v="Married"/>
    <n v="36947"/>
    <n v="1"/>
    <n v="1"/>
    <d v="2012-08-07T00:00:00"/>
    <n v="49"/>
    <n v="88"/>
    <n v="3"/>
    <n v="21"/>
    <n v="4"/>
    <n v="1"/>
    <n v="29"/>
    <n v="4"/>
    <n v="3"/>
    <n v="0"/>
    <n v="4"/>
    <n v="9"/>
    <x v="0"/>
    <x v="0"/>
    <x v="0"/>
    <x v="0"/>
    <x v="0"/>
    <n v="0"/>
    <n v="3"/>
    <n v="11"/>
    <x v="1"/>
  </r>
  <r>
    <n v="5491"/>
    <n v="1951"/>
    <x v="2"/>
    <s v="Together"/>
    <n v="47352"/>
    <n v="0"/>
    <n v="1"/>
    <d v="2013-04-11T00:00:00"/>
    <n v="70"/>
    <n v="172"/>
    <n v="12"/>
    <n v="112"/>
    <n v="8"/>
    <n v="0"/>
    <n v="15"/>
    <n v="4"/>
    <n v="6"/>
    <n v="1"/>
    <n v="5"/>
    <n v="7"/>
    <x v="0"/>
    <x v="0"/>
    <x v="0"/>
    <x v="0"/>
    <x v="0"/>
    <n v="0"/>
    <n v="3"/>
    <n v="11"/>
    <x v="1"/>
  </r>
  <r>
    <n v="8402"/>
    <n v="1953"/>
    <x v="2"/>
    <s v="Married"/>
    <n v="67087"/>
    <n v="0"/>
    <n v="1"/>
    <d v="2013-12-17T00:00:00"/>
    <n v="40"/>
    <n v="329"/>
    <n v="35"/>
    <n v="222"/>
    <n v="130"/>
    <n v="35"/>
    <n v="43"/>
    <n v="2"/>
    <n v="7"/>
    <n v="5"/>
    <n v="8"/>
    <n v="4"/>
    <x v="0"/>
    <x v="0"/>
    <x v="0"/>
    <x v="0"/>
    <x v="0"/>
    <n v="0"/>
    <n v="3"/>
    <n v="11"/>
    <x v="1"/>
  </r>
  <r>
    <n v="8783"/>
    <n v="1950"/>
    <x v="0"/>
    <s v="Married"/>
    <n v="57045"/>
    <n v="0"/>
    <n v="1"/>
    <d v="2012-09-08T00:00:00"/>
    <n v="40"/>
    <n v="296"/>
    <n v="13"/>
    <n v="104"/>
    <n v="11"/>
    <n v="13"/>
    <n v="17"/>
    <n v="3"/>
    <n v="4"/>
    <n v="2"/>
    <n v="9"/>
    <n v="3"/>
    <x v="0"/>
    <x v="0"/>
    <x v="0"/>
    <x v="0"/>
    <x v="0"/>
    <n v="0"/>
    <n v="3"/>
    <n v="11"/>
    <x v="1"/>
  </r>
  <r>
    <n v="10010"/>
    <n v="1953"/>
    <x v="1"/>
    <s v="Divorced"/>
    <n v="36957"/>
    <n v="1"/>
    <n v="1"/>
    <d v="2012-09-06T00:00:00"/>
    <n v="43"/>
    <n v="100"/>
    <n v="2"/>
    <n v="16"/>
    <n v="2"/>
    <n v="1"/>
    <n v="31"/>
    <n v="4"/>
    <n v="3"/>
    <n v="2"/>
    <n v="2"/>
    <n v="9"/>
    <x v="0"/>
    <x v="0"/>
    <x v="0"/>
    <x v="0"/>
    <x v="0"/>
    <n v="0"/>
    <n v="3"/>
    <n v="11"/>
    <x v="0"/>
  </r>
  <r>
    <n v="618"/>
    <n v="1977"/>
    <x v="1"/>
    <s v="Married"/>
    <n v="69389"/>
    <n v="0"/>
    <n v="1"/>
    <d v="2012-09-28T00:00:00"/>
    <n v="17"/>
    <n v="422"/>
    <n v="7"/>
    <n v="238"/>
    <n v="69"/>
    <n v="46"/>
    <n v="15"/>
    <n v="1"/>
    <n v="7"/>
    <n v="2"/>
    <n v="12"/>
    <n v="4"/>
    <x v="0"/>
    <x v="0"/>
    <x v="0"/>
    <x v="0"/>
    <x v="0"/>
    <n v="0"/>
    <n v="3"/>
    <n v="11"/>
    <x v="1"/>
  </r>
  <r>
    <n v="9121"/>
    <n v="1972"/>
    <x v="0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x v="0"/>
    <x v="1"/>
    <x v="1"/>
    <x v="1"/>
    <x v="0"/>
    <n v="0"/>
    <n v="3"/>
    <n v="11"/>
    <x v="0"/>
  </r>
  <r>
    <n v="361"/>
    <n v="1969"/>
    <x v="2"/>
    <s v="Married"/>
    <n v="43142"/>
    <n v="1"/>
    <n v="1"/>
    <d v="2014-02-18T00:00:00"/>
    <n v="84"/>
    <n v="5"/>
    <n v="1"/>
    <n v="7"/>
    <n v="2"/>
    <n v="1"/>
    <n v="4"/>
    <n v="1"/>
    <n v="1"/>
    <n v="0"/>
    <n v="2"/>
    <n v="7"/>
    <x v="0"/>
    <x v="0"/>
    <x v="0"/>
    <x v="0"/>
    <x v="0"/>
    <n v="0"/>
    <n v="3"/>
    <n v="11"/>
    <x v="1"/>
  </r>
  <r>
    <n v="4310"/>
    <n v="1944"/>
    <x v="0"/>
    <s v="Married"/>
    <n v="80589"/>
    <n v="0"/>
    <n v="0"/>
    <d v="2014-01-22T00:00:00"/>
    <n v="25"/>
    <n v="507"/>
    <n v="93"/>
    <n v="520"/>
    <n v="242"/>
    <n v="40"/>
    <n v="26"/>
    <n v="1"/>
    <n v="5"/>
    <n v="10"/>
    <n v="5"/>
    <n v="1"/>
    <x v="0"/>
    <x v="0"/>
    <x v="0"/>
    <x v="1"/>
    <x v="0"/>
    <n v="0"/>
    <n v="3"/>
    <n v="11"/>
    <x v="0"/>
  </r>
  <r>
    <n v="2678"/>
    <n v="1990"/>
    <x v="0"/>
    <s v="Single"/>
    <n v="34412"/>
    <n v="1"/>
    <n v="0"/>
    <d v="2013-02-13T00:00:00"/>
    <n v="62"/>
    <n v="52"/>
    <n v="12"/>
    <n v="50"/>
    <n v="4"/>
    <n v="36"/>
    <n v="55"/>
    <n v="3"/>
    <n v="5"/>
    <n v="0"/>
    <n v="3"/>
    <n v="9"/>
    <x v="0"/>
    <x v="0"/>
    <x v="0"/>
    <x v="0"/>
    <x v="0"/>
    <n v="0"/>
    <n v="3"/>
    <n v="11"/>
    <x v="1"/>
  </r>
  <r>
    <n v="6376"/>
    <n v="1979"/>
    <x v="0"/>
    <s v="Single"/>
    <n v="57537"/>
    <n v="1"/>
    <n v="0"/>
    <d v="2013-06-10T00:00:00"/>
    <n v="83"/>
    <n v="191"/>
    <n v="56"/>
    <n v="139"/>
    <n v="51"/>
    <n v="8"/>
    <n v="100"/>
    <n v="4"/>
    <n v="4"/>
    <n v="3"/>
    <n v="8"/>
    <n v="4"/>
    <x v="0"/>
    <x v="0"/>
    <x v="0"/>
    <x v="0"/>
    <x v="0"/>
    <n v="0"/>
    <n v="3"/>
    <n v="11"/>
    <x v="1"/>
  </r>
  <r>
    <n v="524"/>
    <n v="1966"/>
    <x v="3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x v="0"/>
    <x v="0"/>
    <x v="0"/>
    <x v="0"/>
    <x v="0"/>
    <n v="0"/>
    <n v="3"/>
    <n v="11"/>
    <x v="1"/>
  </r>
  <r>
    <n v="10341"/>
    <n v="1948"/>
    <x v="0"/>
    <s v="Together"/>
    <n v="51315"/>
    <n v="0"/>
    <n v="0"/>
    <d v="2014-02-23T00:00:00"/>
    <n v="45"/>
    <n v="68"/>
    <n v="28"/>
    <n v="39"/>
    <n v="16"/>
    <n v="30"/>
    <n v="41"/>
    <n v="1"/>
    <n v="2"/>
    <n v="2"/>
    <n v="5"/>
    <n v="2"/>
    <x v="0"/>
    <x v="0"/>
    <x v="0"/>
    <x v="0"/>
    <x v="0"/>
    <n v="0"/>
    <n v="3"/>
    <n v="11"/>
    <x v="1"/>
  </r>
  <r>
    <n v="5654"/>
    <n v="1972"/>
    <x v="0"/>
    <s v="Married"/>
    <n v="36026"/>
    <n v="2"/>
    <n v="1"/>
    <d v="2014-03-16T00:00:00"/>
    <n v="34"/>
    <n v="20"/>
    <n v="4"/>
    <n v="10"/>
    <n v="6"/>
    <n v="4"/>
    <n v="17"/>
    <n v="2"/>
    <n v="2"/>
    <n v="0"/>
    <n v="3"/>
    <n v="6"/>
    <x v="0"/>
    <x v="0"/>
    <x v="0"/>
    <x v="0"/>
    <x v="0"/>
    <n v="0"/>
    <n v="3"/>
    <n v="11"/>
    <x v="1"/>
  </r>
  <r>
    <n v="4098"/>
    <n v="1973"/>
    <x v="0"/>
    <s v="Married"/>
    <n v="24639"/>
    <n v="1"/>
    <n v="1"/>
    <d v="2014-01-28T00:00:00"/>
    <n v="3"/>
    <n v="20"/>
    <n v="3"/>
    <n v="16"/>
    <n v="0"/>
    <n v="4"/>
    <n v="1"/>
    <n v="3"/>
    <n v="2"/>
    <n v="0"/>
    <n v="4"/>
    <n v="6"/>
    <x v="0"/>
    <x v="0"/>
    <x v="0"/>
    <x v="0"/>
    <x v="0"/>
    <n v="0"/>
    <n v="3"/>
    <n v="11"/>
    <x v="1"/>
  </r>
  <r>
    <n v="5824"/>
    <n v="1972"/>
    <x v="1"/>
    <s v="Together"/>
    <n v="34578"/>
    <n v="2"/>
    <n v="1"/>
    <d v="2014-04-11T00:00:00"/>
    <n v="1"/>
    <n v="7"/>
    <n v="0"/>
    <n v="1"/>
    <n v="0"/>
    <n v="0"/>
    <n v="0"/>
    <n v="1"/>
    <n v="1"/>
    <n v="0"/>
    <n v="2"/>
    <n v="6"/>
    <x v="0"/>
    <x v="0"/>
    <x v="0"/>
    <x v="0"/>
    <x v="0"/>
    <n v="0"/>
    <n v="3"/>
    <n v="11"/>
    <x v="1"/>
  </r>
  <r>
    <n v="7000"/>
    <n v="1972"/>
    <x v="4"/>
    <s v="Single"/>
    <n v="65704"/>
    <n v="0"/>
    <n v="0"/>
    <d v="2013-10-13T00:00:00"/>
    <n v="18"/>
    <n v="279"/>
    <n v="172"/>
    <n v="74"/>
    <n v="38"/>
    <n v="8"/>
    <n v="246"/>
    <n v="1"/>
    <n v="2"/>
    <n v="10"/>
    <n v="10"/>
    <n v="1"/>
    <x v="0"/>
    <x v="0"/>
    <x v="0"/>
    <x v="0"/>
    <x v="0"/>
    <n v="0"/>
    <n v="3"/>
    <n v="11"/>
    <x v="1"/>
  </r>
  <r>
    <n v="2561"/>
    <n v="1966"/>
    <x v="0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x v="0"/>
    <x v="1"/>
    <x v="0"/>
    <x v="0"/>
    <x v="0"/>
    <n v="0"/>
    <n v="3"/>
    <n v="11"/>
    <x v="1"/>
  </r>
  <r>
    <n v="5229"/>
    <n v="1969"/>
    <x v="1"/>
    <s v="Together"/>
    <n v="54132"/>
    <n v="0"/>
    <n v="1"/>
    <d v="2014-02-16T00:00:00"/>
    <n v="81"/>
    <n v="30"/>
    <n v="1"/>
    <n v="8"/>
    <n v="0"/>
    <n v="0"/>
    <n v="3"/>
    <n v="1"/>
    <n v="1"/>
    <n v="0"/>
    <n v="3"/>
    <n v="7"/>
    <x v="0"/>
    <x v="0"/>
    <x v="0"/>
    <x v="0"/>
    <x v="0"/>
    <n v="0"/>
    <n v="3"/>
    <n v="11"/>
    <x v="1"/>
  </r>
  <r>
    <n v="4086"/>
    <n v="1959"/>
    <x v="0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x v="0"/>
    <x v="0"/>
    <x v="0"/>
    <x v="0"/>
    <x v="0"/>
    <n v="0"/>
    <n v="3"/>
    <n v="11"/>
    <x v="1"/>
  </r>
  <r>
    <n v="2428"/>
    <n v="1970"/>
    <x v="0"/>
    <s v="Married"/>
    <n v="28164"/>
    <n v="1"/>
    <n v="0"/>
    <d v="2013-05-04T00:00:00"/>
    <n v="23"/>
    <n v="3"/>
    <n v="18"/>
    <n v="26"/>
    <n v="11"/>
    <n v="8"/>
    <n v="12"/>
    <n v="3"/>
    <n v="2"/>
    <n v="0"/>
    <n v="4"/>
    <n v="7"/>
    <x v="0"/>
    <x v="0"/>
    <x v="0"/>
    <x v="0"/>
    <x v="0"/>
    <n v="0"/>
    <n v="3"/>
    <n v="11"/>
    <x v="1"/>
  </r>
  <r>
    <n v="8254"/>
    <n v="1974"/>
    <x v="1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x v="0"/>
    <x v="0"/>
    <x v="0"/>
    <x v="0"/>
    <x v="0"/>
    <n v="0"/>
    <n v="3"/>
    <n v="11"/>
    <x v="1"/>
  </r>
  <r>
    <n v="2836"/>
    <n v="1972"/>
    <x v="1"/>
    <s v="Married"/>
    <n v="43269"/>
    <n v="1"/>
    <n v="0"/>
    <d v="2013-09-16T00:00:00"/>
    <n v="61"/>
    <n v="10"/>
    <n v="1"/>
    <n v="7"/>
    <n v="0"/>
    <n v="0"/>
    <n v="1"/>
    <n v="1"/>
    <n v="1"/>
    <n v="0"/>
    <n v="2"/>
    <n v="8"/>
    <x v="0"/>
    <x v="0"/>
    <x v="0"/>
    <x v="0"/>
    <x v="0"/>
    <n v="0"/>
    <n v="3"/>
    <n v="11"/>
    <x v="1"/>
  </r>
  <r>
    <n v="8418"/>
    <n v="1958"/>
    <x v="4"/>
    <s v="Single"/>
    <n v="38741"/>
    <n v="1"/>
    <n v="1"/>
    <d v="2014-03-30T00:00:00"/>
    <n v="60"/>
    <n v="7"/>
    <n v="10"/>
    <n v="17"/>
    <n v="8"/>
    <n v="6"/>
    <n v="13"/>
    <n v="2"/>
    <n v="2"/>
    <n v="0"/>
    <n v="3"/>
    <n v="7"/>
    <x v="0"/>
    <x v="0"/>
    <x v="0"/>
    <x v="0"/>
    <x v="0"/>
    <n v="0"/>
    <n v="3"/>
    <n v="11"/>
    <x v="1"/>
  </r>
  <r>
    <n v="1362"/>
    <n v="1972"/>
    <x v="0"/>
    <s v="Single"/>
    <n v="31907"/>
    <n v="0"/>
    <n v="0"/>
    <d v="2013-03-04T00:00:00"/>
    <n v="75"/>
    <n v="33"/>
    <n v="87"/>
    <n v="64"/>
    <n v="175"/>
    <n v="16"/>
    <n v="74"/>
    <n v="1"/>
    <n v="6"/>
    <n v="1"/>
    <n v="6"/>
    <n v="7"/>
    <x v="0"/>
    <x v="0"/>
    <x v="0"/>
    <x v="0"/>
    <x v="0"/>
    <n v="0"/>
    <n v="3"/>
    <n v="11"/>
    <x v="1"/>
  </r>
  <r>
    <n v="7152"/>
    <n v="1983"/>
    <x v="2"/>
    <s v="Married"/>
    <n v="27100"/>
    <n v="1"/>
    <n v="0"/>
    <d v="2013-04-05T00:00:00"/>
    <n v="64"/>
    <n v="12"/>
    <n v="0"/>
    <n v="13"/>
    <n v="2"/>
    <n v="0"/>
    <n v="10"/>
    <n v="1"/>
    <n v="1"/>
    <n v="0"/>
    <n v="3"/>
    <n v="7"/>
    <x v="0"/>
    <x v="0"/>
    <x v="0"/>
    <x v="0"/>
    <x v="0"/>
    <n v="0"/>
    <n v="3"/>
    <n v="11"/>
    <x v="1"/>
  </r>
  <r>
    <n v="10033"/>
    <n v="1973"/>
    <x v="4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x v="0"/>
    <x v="0"/>
    <x v="0"/>
    <x v="0"/>
    <x v="0"/>
    <n v="0"/>
    <n v="3"/>
    <n v="11"/>
    <x v="1"/>
  </r>
  <r>
    <n v="9349"/>
    <n v="1985"/>
    <x v="0"/>
    <s v="Married"/>
    <n v="92533"/>
    <n v="0"/>
    <n v="0"/>
    <d v="2013-12-19T00:00:00"/>
    <n v="84"/>
    <n v="693"/>
    <n v="21"/>
    <n v="118"/>
    <n v="110"/>
    <n v="147"/>
    <n v="42"/>
    <n v="1"/>
    <n v="6"/>
    <n v="5"/>
    <n v="11"/>
    <n v="2"/>
    <x v="0"/>
    <x v="0"/>
    <x v="1"/>
    <x v="1"/>
    <x v="0"/>
    <n v="0"/>
    <n v="3"/>
    <n v="11"/>
    <x v="1"/>
  </r>
  <r>
    <n v="274"/>
    <n v="1973"/>
    <x v="0"/>
    <s v="Single"/>
    <n v="34853"/>
    <n v="1"/>
    <n v="1"/>
    <d v="2013-12-23T00:00:00"/>
    <n v="75"/>
    <n v="9"/>
    <n v="3"/>
    <n v="15"/>
    <n v="2"/>
    <n v="3"/>
    <n v="2"/>
    <n v="2"/>
    <n v="2"/>
    <n v="0"/>
    <n v="3"/>
    <n v="6"/>
    <x v="0"/>
    <x v="0"/>
    <x v="0"/>
    <x v="0"/>
    <x v="0"/>
    <n v="0"/>
    <n v="3"/>
    <n v="11"/>
    <x v="1"/>
  </r>
  <r>
    <n v="3388"/>
    <n v="1967"/>
    <x v="0"/>
    <s v="Divorced"/>
    <n v="70844"/>
    <n v="1"/>
    <n v="1"/>
    <d v="2013-10-30T00:00:00"/>
    <n v="16"/>
    <n v="129"/>
    <n v="26"/>
    <n v="67"/>
    <n v="3"/>
    <n v="67"/>
    <n v="2"/>
    <n v="5"/>
    <n v="6"/>
    <n v="1"/>
    <n v="5"/>
    <n v="7"/>
    <x v="0"/>
    <x v="0"/>
    <x v="0"/>
    <x v="0"/>
    <x v="0"/>
    <n v="0"/>
    <n v="3"/>
    <n v="11"/>
    <x v="1"/>
  </r>
  <r>
    <n v="922"/>
    <n v="1979"/>
    <x v="4"/>
    <s v="Married"/>
    <n v="31086"/>
    <n v="1"/>
    <n v="1"/>
    <d v="2013-05-04T00:00:00"/>
    <n v="79"/>
    <n v="16"/>
    <n v="2"/>
    <n v="11"/>
    <n v="3"/>
    <n v="0"/>
    <n v="16"/>
    <n v="2"/>
    <n v="1"/>
    <n v="1"/>
    <n v="2"/>
    <n v="8"/>
    <x v="1"/>
    <x v="0"/>
    <x v="0"/>
    <x v="0"/>
    <x v="0"/>
    <n v="0"/>
    <n v="3"/>
    <n v="11"/>
    <x v="1"/>
  </r>
  <r>
    <n v="8588"/>
    <n v="1961"/>
    <x v="0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x v="0"/>
    <x v="0"/>
    <x v="0"/>
    <x v="0"/>
    <x v="0"/>
    <n v="0"/>
    <n v="3"/>
    <n v="11"/>
    <x v="1"/>
  </r>
  <r>
    <n v="2518"/>
    <n v="1986"/>
    <x v="4"/>
    <s v="Together"/>
    <n v="20491"/>
    <n v="0"/>
    <n v="0"/>
    <d v="2013-01-25T00:00:00"/>
    <n v="16"/>
    <n v="5"/>
    <n v="4"/>
    <n v="5"/>
    <n v="4"/>
    <n v="2"/>
    <n v="10"/>
    <n v="1"/>
    <n v="0"/>
    <n v="1"/>
    <n v="2"/>
    <n v="7"/>
    <x v="0"/>
    <x v="0"/>
    <x v="0"/>
    <x v="0"/>
    <x v="0"/>
    <n v="0"/>
    <n v="3"/>
    <n v="11"/>
    <x v="1"/>
  </r>
  <r>
    <n v="574"/>
    <n v="1964"/>
    <x v="0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x v="0"/>
    <x v="0"/>
    <x v="0"/>
    <x v="0"/>
    <x v="0"/>
    <n v="0"/>
    <n v="3"/>
    <n v="11"/>
    <x v="1"/>
  </r>
  <r>
    <n v="3220"/>
    <n v="1983"/>
    <x v="0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x v="0"/>
    <x v="0"/>
    <x v="0"/>
    <x v="0"/>
    <x v="0"/>
    <n v="0"/>
    <n v="3"/>
    <n v="11"/>
    <x v="1"/>
  </r>
  <r>
    <n v="5967"/>
    <n v="1952"/>
    <x v="0"/>
    <s v="Together"/>
    <n v="33402"/>
    <n v="1"/>
    <n v="1"/>
    <d v="2013-07-18T00:00:00"/>
    <n v="60"/>
    <n v="26"/>
    <n v="2"/>
    <n v="19"/>
    <n v="10"/>
    <n v="5"/>
    <n v="8"/>
    <n v="3"/>
    <n v="2"/>
    <n v="1"/>
    <n v="3"/>
    <n v="8"/>
    <x v="0"/>
    <x v="0"/>
    <x v="0"/>
    <x v="0"/>
    <x v="0"/>
    <n v="0"/>
    <n v="3"/>
    <n v="11"/>
    <x v="1"/>
  </r>
  <r>
    <n v="1183"/>
    <n v="1949"/>
    <x v="2"/>
    <s v="Married"/>
    <n v="36408"/>
    <n v="1"/>
    <n v="1"/>
    <d v="2013-09-21T00:00:00"/>
    <n v="11"/>
    <n v="9"/>
    <n v="1"/>
    <n v="4"/>
    <n v="3"/>
    <n v="2"/>
    <n v="3"/>
    <n v="1"/>
    <n v="1"/>
    <n v="0"/>
    <n v="2"/>
    <n v="6"/>
    <x v="0"/>
    <x v="0"/>
    <x v="0"/>
    <x v="0"/>
    <x v="0"/>
    <n v="0"/>
    <n v="3"/>
    <n v="11"/>
    <x v="1"/>
  </r>
  <r>
    <n v="6856"/>
    <n v="1979"/>
    <x v="0"/>
    <s v="Together"/>
    <n v="21645"/>
    <n v="1"/>
    <n v="0"/>
    <d v="2012-09-03T00:00:00"/>
    <n v="75"/>
    <n v="14"/>
    <n v="0"/>
    <n v="23"/>
    <n v="4"/>
    <n v="5"/>
    <n v="19"/>
    <n v="3"/>
    <n v="3"/>
    <n v="0"/>
    <n v="3"/>
    <n v="9"/>
    <x v="0"/>
    <x v="0"/>
    <x v="0"/>
    <x v="0"/>
    <x v="0"/>
    <n v="0"/>
    <n v="3"/>
    <n v="11"/>
    <x v="0"/>
  </r>
  <r>
    <n v="4530"/>
    <n v="1948"/>
    <x v="2"/>
    <s v="Widow"/>
    <n v="78427"/>
    <n v="0"/>
    <n v="0"/>
    <d v="2012-10-24T00:00:00"/>
    <n v="36"/>
    <n v="972"/>
    <n v="19"/>
    <n v="595"/>
    <n v="180"/>
    <n v="26"/>
    <n v="138"/>
    <n v="3"/>
    <n v="3"/>
    <n v="7"/>
    <n v="10"/>
    <n v="3"/>
    <x v="0"/>
    <x v="0"/>
    <x v="0"/>
    <x v="1"/>
    <x v="0"/>
    <n v="0"/>
    <n v="3"/>
    <n v="11"/>
    <x v="0"/>
  </r>
  <r>
    <n v="1553"/>
    <n v="1946"/>
    <x v="0"/>
    <s v="Together"/>
    <n v="82657"/>
    <n v="0"/>
    <n v="0"/>
    <d v="2013-09-27T00:00:00"/>
    <n v="71"/>
    <n v="966"/>
    <n v="168"/>
    <n v="672"/>
    <n v="246"/>
    <n v="105"/>
    <n v="126"/>
    <n v="1"/>
    <n v="7"/>
    <n v="5"/>
    <n v="10"/>
    <n v="4"/>
    <x v="0"/>
    <x v="1"/>
    <x v="0"/>
    <x v="1"/>
    <x v="0"/>
    <n v="0"/>
    <n v="3"/>
    <n v="11"/>
    <x v="1"/>
  </r>
  <r>
    <n v="4682"/>
    <n v="1958"/>
    <x v="0"/>
    <s v="Married"/>
    <n v="51876"/>
    <n v="0"/>
    <n v="0"/>
    <d v="2013-10-15T00:00:00"/>
    <n v="88"/>
    <n v="99"/>
    <n v="27"/>
    <n v="102"/>
    <n v="28"/>
    <n v="48"/>
    <n v="6"/>
    <n v="1"/>
    <n v="2"/>
    <n v="2"/>
    <n v="8"/>
    <n v="1"/>
    <x v="0"/>
    <x v="0"/>
    <x v="0"/>
    <x v="0"/>
    <x v="0"/>
    <n v="0"/>
    <n v="3"/>
    <n v="11"/>
    <x v="1"/>
  </r>
  <r>
    <n v="8204"/>
    <n v="1971"/>
    <x v="4"/>
    <s v="Married"/>
    <n v="78041"/>
    <n v="0"/>
    <n v="0"/>
    <d v="2012-12-16T00:00:00"/>
    <n v="93"/>
    <n v="482"/>
    <n v="35"/>
    <n v="553"/>
    <n v="72"/>
    <n v="160"/>
    <n v="17"/>
    <n v="1"/>
    <n v="4"/>
    <n v="4"/>
    <n v="9"/>
    <n v="2"/>
    <x v="0"/>
    <x v="0"/>
    <x v="0"/>
    <x v="0"/>
    <x v="0"/>
    <n v="0"/>
    <n v="3"/>
    <n v="11"/>
    <x v="1"/>
  </r>
  <r>
    <n v="5221"/>
    <n v="1957"/>
    <x v="0"/>
    <s v="Married"/>
    <n v="52852"/>
    <n v="0"/>
    <n v="1"/>
    <d v="2012-12-01T00:00:00"/>
    <n v="93"/>
    <n v="714"/>
    <n v="8"/>
    <n v="99"/>
    <n v="11"/>
    <n v="0"/>
    <n v="47"/>
    <n v="4"/>
    <n v="10"/>
    <n v="7"/>
    <n v="5"/>
    <n v="8"/>
    <x v="1"/>
    <x v="0"/>
    <x v="0"/>
    <x v="0"/>
    <x v="0"/>
    <n v="0"/>
    <n v="3"/>
    <n v="11"/>
    <x v="1"/>
  </r>
  <r>
    <n v="1232"/>
    <n v="1982"/>
    <x v="1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x v="0"/>
    <x v="0"/>
    <x v="0"/>
    <x v="0"/>
    <x v="0"/>
    <n v="0"/>
    <n v="3"/>
    <n v="11"/>
    <x v="1"/>
  </r>
  <r>
    <n v="1927"/>
    <n v="1973"/>
    <x v="4"/>
    <s v="Together"/>
    <n v="69401"/>
    <n v="0"/>
    <n v="1"/>
    <d v="2014-03-23T00:00:00"/>
    <n v="41"/>
    <n v="399"/>
    <n v="27"/>
    <n v="159"/>
    <n v="58"/>
    <n v="8"/>
    <n v="39"/>
    <n v="4"/>
    <n v="4"/>
    <n v="4"/>
    <n v="5"/>
    <n v="2"/>
    <x v="0"/>
    <x v="0"/>
    <x v="0"/>
    <x v="0"/>
    <x v="0"/>
    <n v="0"/>
    <n v="3"/>
    <n v="11"/>
    <x v="1"/>
  </r>
  <r>
    <n v="5788"/>
    <n v="1972"/>
    <x v="0"/>
    <s v="Together"/>
    <n v="46053"/>
    <n v="1"/>
    <n v="0"/>
    <d v="2013-02-17T00:00:00"/>
    <n v="46"/>
    <n v="56"/>
    <n v="10"/>
    <n v="92"/>
    <n v="19"/>
    <n v="7"/>
    <n v="25"/>
    <n v="3"/>
    <n v="3"/>
    <n v="2"/>
    <n v="4"/>
    <n v="5"/>
    <x v="0"/>
    <x v="0"/>
    <x v="0"/>
    <x v="0"/>
    <x v="0"/>
    <n v="0"/>
    <n v="3"/>
    <n v="11"/>
    <x v="1"/>
  </r>
  <r>
    <n v="6652"/>
    <n v="1965"/>
    <x v="0"/>
    <s v="Married"/>
    <n v="77343"/>
    <n v="0"/>
    <n v="0"/>
    <d v="2014-06-09T00:00:00"/>
    <n v="28"/>
    <n v="227"/>
    <n v="151"/>
    <n v="573"/>
    <n v="98"/>
    <n v="54"/>
    <n v="31"/>
    <n v="1"/>
    <n v="3"/>
    <n v="4"/>
    <n v="9"/>
    <n v="1"/>
    <x v="0"/>
    <x v="0"/>
    <x v="0"/>
    <x v="0"/>
    <x v="0"/>
    <n v="0"/>
    <n v="3"/>
    <n v="11"/>
    <x v="1"/>
  </r>
  <r>
    <n v="6246"/>
    <n v="1953"/>
    <x v="0"/>
    <s v="Single"/>
    <n v="73892"/>
    <n v="0"/>
    <n v="0"/>
    <d v="2013-11-13T00:00:00"/>
    <n v="40"/>
    <n v="703"/>
    <n v="102"/>
    <n v="601"/>
    <n v="0"/>
    <n v="58"/>
    <n v="43"/>
    <n v="1"/>
    <n v="3"/>
    <n v="11"/>
    <n v="8"/>
    <n v="1"/>
    <x v="0"/>
    <x v="0"/>
    <x v="0"/>
    <x v="0"/>
    <x v="0"/>
    <n v="0"/>
    <n v="3"/>
    <n v="11"/>
    <x v="0"/>
  </r>
  <r>
    <n v="5975"/>
    <n v="1967"/>
    <x v="1"/>
    <s v="Single"/>
    <n v="40304"/>
    <n v="1"/>
    <n v="0"/>
    <d v="2013-09-30T00:00:00"/>
    <n v="82"/>
    <n v="37"/>
    <n v="0"/>
    <n v="17"/>
    <n v="0"/>
    <n v="0"/>
    <n v="3"/>
    <n v="1"/>
    <n v="2"/>
    <n v="0"/>
    <n v="3"/>
    <n v="7"/>
    <x v="0"/>
    <x v="0"/>
    <x v="0"/>
    <x v="0"/>
    <x v="0"/>
    <n v="0"/>
    <n v="3"/>
    <n v="11"/>
    <x v="1"/>
  </r>
  <r>
    <n v="6875"/>
    <n v="1965"/>
    <x v="1"/>
    <s v="Together"/>
    <n v="32727"/>
    <n v="0"/>
    <n v="0"/>
    <d v="2012-08-28T00:00:00"/>
    <n v="38"/>
    <n v="167"/>
    <n v="13"/>
    <n v="180"/>
    <n v="86"/>
    <n v="13"/>
    <n v="70"/>
    <n v="2"/>
    <n v="7"/>
    <n v="3"/>
    <n v="5"/>
    <n v="8"/>
    <x v="0"/>
    <x v="0"/>
    <x v="0"/>
    <x v="0"/>
    <x v="0"/>
    <n v="0"/>
    <n v="3"/>
    <n v="11"/>
    <x v="1"/>
  </r>
  <r>
    <n v="4399"/>
    <n v="1969"/>
    <x v="0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x v="0"/>
    <x v="0"/>
    <x v="0"/>
    <x v="0"/>
    <x v="0"/>
    <n v="0"/>
    <n v="3"/>
    <n v="11"/>
    <x v="1"/>
  </r>
  <r>
    <n v="4042"/>
    <n v="1971"/>
    <x v="0"/>
    <s v="Divorced"/>
    <n v="43300"/>
    <n v="0"/>
    <n v="1"/>
    <d v="2012-10-13T00:00:00"/>
    <n v="87"/>
    <n v="91"/>
    <n v="3"/>
    <n v="52"/>
    <n v="2"/>
    <n v="1"/>
    <n v="31"/>
    <n v="3"/>
    <n v="4"/>
    <n v="0"/>
    <n v="4"/>
    <n v="8"/>
    <x v="0"/>
    <x v="0"/>
    <x v="0"/>
    <x v="0"/>
    <x v="0"/>
    <n v="0"/>
    <n v="3"/>
    <n v="11"/>
    <x v="0"/>
  </r>
  <r>
    <n v="2157"/>
    <n v="1972"/>
    <x v="0"/>
    <s v="Together"/>
    <n v="26290"/>
    <n v="1"/>
    <n v="1"/>
    <d v="2013-01-12T00:00:00"/>
    <n v="49"/>
    <n v="15"/>
    <n v="8"/>
    <n v="16"/>
    <n v="11"/>
    <n v="5"/>
    <n v="22"/>
    <n v="4"/>
    <n v="2"/>
    <n v="0"/>
    <n v="4"/>
    <n v="6"/>
    <x v="0"/>
    <x v="0"/>
    <x v="0"/>
    <x v="0"/>
    <x v="0"/>
    <n v="0"/>
    <n v="3"/>
    <n v="11"/>
    <x v="1"/>
  </r>
  <r>
    <n v="10133"/>
    <n v="1970"/>
    <x v="0"/>
    <s v="Single"/>
    <n v="93790"/>
    <n v="0"/>
    <n v="0"/>
    <d v="2014-02-12T00:00:00"/>
    <n v="16"/>
    <n v="1302"/>
    <n v="68"/>
    <n v="731"/>
    <n v="89"/>
    <n v="114"/>
    <n v="45"/>
    <n v="0"/>
    <n v="6"/>
    <n v="7"/>
    <n v="12"/>
    <n v="2"/>
    <x v="0"/>
    <x v="1"/>
    <x v="1"/>
    <x v="1"/>
    <x v="0"/>
    <n v="0"/>
    <n v="3"/>
    <n v="11"/>
    <x v="0"/>
  </r>
  <r>
    <n v="2525"/>
    <n v="1974"/>
    <x v="1"/>
    <s v="Married"/>
    <n v="38410"/>
    <n v="0"/>
    <n v="0"/>
    <d v="2012-09-14T00:00:00"/>
    <n v="65"/>
    <n v="153"/>
    <n v="64"/>
    <n v="123"/>
    <n v="116"/>
    <n v="64"/>
    <n v="14"/>
    <n v="2"/>
    <n v="5"/>
    <n v="2"/>
    <n v="9"/>
    <n v="6"/>
    <x v="0"/>
    <x v="0"/>
    <x v="0"/>
    <x v="0"/>
    <x v="0"/>
    <n v="0"/>
    <n v="3"/>
    <n v="11"/>
    <x v="0"/>
  </r>
  <r>
    <n v="8233"/>
    <n v="1950"/>
    <x v="2"/>
    <s v="Widow"/>
    <n v="64866"/>
    <n v="0"/>
    <n v="1"/>
    <d v="2014-01-26T00:00:00"/>
    <n v="9"/>
    <n v="508"/>
    <n v="5"/>
    <n v="21"/>
    <n v="7"/>
    <n v="5"/>
    <n v="10"/>
    <n v="4"/>
    <n v="7"/>
    <n v="3"/>
    <n v="7"/>
    <n v="5"/>
    <x v="0"/>
    <x v="1"/>
    <x v="0"/>
    <x v="0"/>
    <x v="0"/>
    <n v="0"/>
    <n v="3"/>
    <n v="11"/>
    <x v="1"/>
  </r>
  <r>
    <n v="9483"/>
    <n v="1959"/>
    <x v="0"/>
    <s v="Together"/>
    <n v="57957"/>
    <n v="0"/>
    <n v="1"/>
    <d v="2013-08-19T00:00:00"/>
    <n v="24"/>
    <n v="290"/>
    <n v="59"/>
    <n v="177"/>
    <n v="77"/>
    <n v="5"/>
    <n v="29"/>
    <n v="7"/>
    <n v="4"/>
    <n v="6"/>
    <n v="8"/>
    <n v="3"/>
    <x v="0"/>
    <x v="0"/>
    <x v="0"/>
    <x v="0"/>
    <x v="0"/>
    <n v="1"/>
    <n v="3"/>
    <n v="11"/>
    <x v="1"/>
  </r>
  <r>
    <n v="2945"/>
    <n v="1955"/>
    <x v="1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x v="1"/>
    <x v="0"/>
    <x v="0"/>
    <x v="0"/>
    <x v="1"/>
    <n v="0"/>
    <n v="3"/>
    <n v="11"/>
    <x v="1"/>
  </r>
  <r>
    <n v="10403"/>
    <n v="1978"/>
    <x v="0"/>
    <s v="Together"/>
    <n v="16531"/>
    <n v="1"/>
    <n v="0"/>
    <d v="2014-06-18T00:00:00"/>
    <n v="43"/>
    <n v="2"/>
    <n v="13"/>
    <n v="6"/>
    <n v="7"/>
    <n v="5"/>
    <n v="11"/>
    <n v="3"/>
    <n v="3"/>
    <n v="0"/>
    <n v="3"/>
    <n v="7"/>
    <x v="0"/>
    <x v="0"/>
    <x v="0"/>
    <x v="0"/>
    <x v="0"/>
    <n v="0"/>
    <n v="3"/>
    <n v="11"/>
    <x v="1"/>
  </r>
  <r>
    <n v="5074"/>
    <n v="1986"/>
    <x v="2"/>
    <s v="Married"/>
    <n v="28072"/>
    <n v="1"/>
    <n v="0"/>
    <d v="2013-07-08T00:00:00"/>
    <n v="10"/>
    <n v="30"/>
    <n v="0"/>
    <n v="10"/>
    <n v="2"/>
    <n v="0"/>
    <n v="5"/>
    <n v="1"/>
    <n v="1"/>
    <n v="0"/>
    <n v="3"/>
    <n v="7"/>
    <x v="0"/>
    <x v="0"/>
    <x v="0"/>
    <x v="0"/>
    <x v="0"/>
    <n v="0"/>
    <n v="3"/>
    <n v="11"/>
    <x v="1"/>
  </r>
  <r>
    <n v="10524"/>
    <n v="1963"/>
    <x v="2"/>
    <s v="Divorced"/>
    <n v="49476"/>
    <n v="0"/>
    <n v="1"/>
    <d v="2013-06-20T00:00:00"/>
    <n v="29"/>
    <n v="386"/>
    <n v="23"/>
    <n v="95"/>
    <n v="54"/>
    <n v="41"/>
    <n v="196"/>
    <n v="4"/>
    <n v="2"/>
    <n v="11"/>
    <n v="5"/>
    <n v="2"/>
    <x v="0"/>
    <x v="0"/>
    <x v="0"/>
    <x v="0"/>
    <x v="0"/>
    <n v="0"/>
    <n v="3"/>
    <n v="11"/>
    <x v="1"/>
  </r>
  <r>
    <n v="4690"/>
    <n v="1953"/>
    <x v="0"/>
    <s v="Married"/>
    <n v="50725"/>
    <n v="0"/>
    <n v="1"/>
    <d v="2013-02-13T00:00:00"/>
    <n v="45"/>
    <n v="443"/>
    <n v="10"/>
    <n v="75"/>
    <n v="0"/>
    <n v="10"/>
    <n v="48"/>
    <n v="4"/>
    <n v="8"/>
    <n v="1"/>
    <n v="8"/>
    <n v="8"/>
    <x v="0"/>
    <x v="0"/>
    <x v="0"/>
    <x v="0"/>
    <x v="0"/>
    <n v="0"/>
    <n v="3"/>
    <n v="11"/>
    <x v="1"/>
  </r>
  <r>
    <n v="7521"/>
    <n v="1952"/>
    <x v="0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x v="0"/>
    <x v="0"/>
    <x v="1"/>
    <x v="0"/>
    <x v="0"/>
    <n v="0"/>
    <n v="3"/>
    <n v="11"/>
    <x v="1"/>
  </r>
  <r>
    <n v="7196"/>
    <n v="1950"/>
    <x v="1"/>
    <s v="Married"/>
    <n v="41145"/>
    <n v="1"/>
    <n v="1"/>
    <d v="2014-02-08T00:00:00"/>
    <n v="20"/>
    <n v="9"/>
    <n v="0"/>
    <n v="3"/>
    <n v="0"/>
    <n v="0"/>
    <n v="1"/>
    <n v="1"/>
    <n v="0"/>
    <n v="0"/>
    <n v="3"/>
    <n v="3"/>
    <x v="0"/>
    <x v="0"/>
    <x v="0"/>
    <x v="0"/>
    <x v="0"/>
    <n v="0"/>
    <n v="3"/>
    <n v="11"/>
    <x v="1"/>
  </r>
  <r>
    <n v="4406"/>
    <n v="1970"/>
    <x v="0"/>
    <s v="Together"/>
    <n v="67419"/>
    <n v="0"/>
    <n v="1"/>
    <d v="2013-01-16T00:00:00"/>
    <n v="29"/>
    <n v="846"/>
    <n v="84"/>
    <n v="352"/>
    <n v="91"/>
    <n v="56"/>
    <n v="42"/>
    <n v="4"/>
    <n v="9"/>
    <n v="4"/>
    <n v="8"/>
    <n v="5"/>
    <x v="0"/>
    <x v="0"/>
    <x v="0"/>
    <x v="0"/>
    <x v="0"/>
    <n v="0"/>
    <n v="3"/>
    <n v="11"/>
    <x v="1"/>
  </r>
  <r>
    <n v="9672"/>
    <n v="1970"/>
    <x v="4"/>
    <s v="Married"/>
    <n v="23162"/>
    <n v="1"/>
    <n v="1"/>
    <d v="2013-12-21T00:00:00"/>
    <n v="82"/>
    <n v="8"/>
    <n v="3"/>
    <n v="9"/>
    <n v="19"/>
    <n v="4"/>
    <n v="22"/>
    <n v="3"/>
    <n v="1"/>
    <n v="1"/>
    <n v="3"/>
    <n v="6"/>
    <x v="0"/>
    <x v="0"/>
    <x v="0"/>
    <x v="0"/>
    <x v="0"/>
    <n v="0"/>
    <n v="3"/>
    <n v="11"/>
    <x v="1"/>
  </r>
  <r>
    <n v="4864"/>
    <n v="1977"/>
    <x v="0"/>
    <s v="Married"/>
    <n v="34380"/>
    <n v="1"/>
    <n v="0"/>
    <d v="2013-05-02T00:00:00"/>
    <n v="68"/>
    <n v="72"/>
    <n v="7"/>
    <n v="58"/>
    <n v="13"/>
    <n v="1"/>
    <n v="24"/>
    <n v="4"/>
    <n v="4"/>
    <n v="1"/>
    <n v="3"/>
    <n v="8"/>
    <x v="0"/>
    <x v="0"/>
    <x v="0"/>
    <x v="0"/>
    <x v="0"/>
    <n v="0"/>
    <n v="3"/>
    <n v="11"/>
    <x v="1"/>
  </r>
  <r>
    <n v="4706"/>
    <n v="1966"/>
    <x v="0"/>
    <s v="Single"/>
    <n v="34704"/>
    <n v="0"/>
    <n v="1"/>
    <d v="2013-04-27T00:00:00"/>
    <n v="65"/>
    <n v="29"/>
    <n v="0"/>
    <n v="5"/>
    <n v="0"/>
    <n v="1"/>
    <n v="5"/>
    <n v="1"/>
    <n v="1"/>
    <n v="0"/>
    <n v="3"/>
    <n v="5"/>
    <x v="0"/>
    <x v="0"/>
    <x v="0"/>
    <x v="0"/>
    <x v="0"/>
    <n v="0"/>
    <n v="3"/>
    <n v="11"/>
    <x v="1"/>
  </r>
  <r>
    <n v="4070"/>
    <n v="1969"/>
    <x v="1"/>
    <s v="Married"/>
    <n v="94871"/>
    <n v="0"/>
    <n v="2"/>
    <d v="2012-09-01T00:00:00"/>
    <n v="99"/>
    <n v="169"/>
    <n v="24"/>
    <n v="553"/>
    <n v="188"/>
    <n v="0"/>
    <n v="144"/>
    <n v="1"/>
    <n v="8"/>
    <n v="5"/>
    <n v="4"/>
    <n v="7"/>
    <x v="0"/>
    <x v="1"/>
    <x v="1"/>
    <x v="0"/>
    <x v="0"/>
    <n v="0"/>
    <n v="3"/>
    <n v="11"/>
    <x v="0"/>
  </r>
  <r>
    <n v="25"/>
    <n v="1958"/>
    <x v="0"/>
    <s v="Married"/>
    <n v="65148"/>
    <n v="0"/>
    <n v="1"/>
    <d v="2012-11-16T00:00:00"/>
    <n v="9"/>
    <n v="460"/>
    <n v="35"/>
    <n v="422"/>
    <n v="33"/>
    <n v="12"/>
    <n v="153"/>
    <n v="2"/>
    <n v="6"/>
    <n v="6"/>
    <n v="7"/>
    <n v="4"/>
    <x v="0"/>
    <x v="0"/>
    <x v="0"/>
    <x v="0"/>
    <x v="0"/>
    <n v="0"/>
    <n v="3"/>
    <n v="11"/>
    <x v="1"/>
  </r>
  <r>
    <n v="3697"/>
    <n v="1954"/>
    <x v="0"/>
    <s v="Together"/>
    <n v="39898"/>
    <n v="0"/>
    <n v="1"/>
    <d v="2013-02-12T00:00:00"/>
    <n v="20"/>
    <n v="69"/>
    <n v="8"/>
    <n v="26"/>
    <n v="12"/>
    <n v="7"/>
    <n v="12"/>
    <n v="2"/>
    <n v="3"/>
    <n v="0"/>
    <n v="4"/>
    <n v="7"/>
    <x v="0"/>
    <x v="0"/>
    <x v="0"/>
    <x v="0"/>
    <x v="0"/>
    <n v="0"/>
    <n v="3"/>
    <n v="11"/>
    <x v="1"/>
  </r>
  <r>
    <n v="217"/>
    <n v="1956"/>
    <x v="2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x v="0"/>
    <x v="0"/>
    <x v="0"/>
    <x v="0"/>
    <x v="0"/>
    <n v="0"/>
    <n v="3"/>
    <n v="11"/>
    <x v="1"/>
  </r>
  <r>
    <n v="4220"/>
    <n v="1970"/>
    <x v="1"/>
    <s v="Married"/>
    <n v="59892"/>
    <n v="0"/>
    <n v="1"/>
    <d v="2013-11-02T00:00:00"/>
    <n v="26"/>
    <n v="73"/>
    <n v="0"/>
    <n v="13"/>
    <n v="0"/>
    <n v="1"/>
    <n v="0"/>
    <n v="1"/>
    <n v="2"/>
    <n v="1"/>
    <n v="3"/>
    <n v="3"/>
    <x v="0"/>
    <x v="0"/>
    <x v="0"/>
    <x v="0"/>
    <x v="0"/>
    <n v="0"/>
    <n v="3"/>
    <n v="11"/>
    <x v="1"/>
  </r>
  <r>
    <n v="5286"/>
    <n v="1987"/>
    <x v="2"/>
    <s v="Single"/>
    <n v="41020"/>
    <n v="0"/>
    <n v="0"/>
    <d v="2013-10-28T00:00:00"/>
    <n v="68"/>
    <n v="112"/>
    <n v="1"/>
    <n v="54"/>
    <n v="7"/>
    <n v="7"/>
    <n v="36"/>
    <n v="1"/>
    <n v="3"/>
    <n v="2"/>
    <n v="4"/>
    <n v="3"/>
    <x v="0"/>
    <x v="0"/>
    <x v="0"/>
    <x v="0"/>
    <x v="0"/>
    <n v="0"/>
    <n v="3"/>
    <n v="11"/>
    <x v="1"/>
  </r>
  <r>
    <n v="9559"/>
    <n v="1961"/>
    <x v="1"/>
    <s v="Married"/>
    <n v="57072"/>
    <n v="0"/>
    <n v="1"/>
    <d v="2014-01-24T00:00:00"/>
    <n v="79"/>
    <n v="944"/>
    <n v="0"/>
    <n v="60"/>
    <n v="0"/>
    <n v="0"/>
    <n v="30"/>
    <n v="2"/>
    <n v="7"/>
    <n v="5"/>
    <n v="13"/>
    <n v="5"/>
    <x v="1"/>
    <x v="0"/>
    <x v="0"/>
    <x v="0"/>
    <x v="0"/>
    <n v="0"/>
    <n v="3"/>
    <n v="11"/>
    <x v="1"/>
  </r>
  <r>
    <n v="2849"/>
    <n v="1979"/>
    <x v="0"/>
    <s v="Single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x v="0"/>
    <x v="0"/>
    <x v="0"/>
    <x v="0"/>
    <x v="0"/>
    <n v="0"/>
    <n v="3"/>
    <n v="11"/>
    <x v="1"/>
  </r>
  <r>
    <n v="7787"/>
    <n v="1960"/>
    <x v="0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x v="0"/>
    <x v="0"/>
    <x v="0"/>
    <x v="0"/>
    <x v="0"/>
    <n v="0"/>
    <n v="3"/>
    <n v="11"/>
    <x v="1"/>
  </r>
  <r>
    <n v="3102"/>
    <n v="1981"/>
    <x v="4"/>
    <s v="Together"/>
    <n v="19414"/>
    <n v="1"/>
    <n v="0"/>
    <d v="2013-10-16T00:00:00"/>
    <n v="32"/>
    <n v="2"/>
    <n v="3"/>
    <n v="12"/>
    <n v="3"/>
    <n v="5"/>
    <n v="7"/>
    <n v="1"/>
    <n v="1"/>
    <n v="0"/>
    <n v="3"/>
    <n v="8"/>
    <x v="0"/>
    <x v="0"/>
    <x v="0"/>
    <x v="0"/>
    <x v="0"/>
    <n v="0"/>
    <n v="3"/>
    <n v="11"/>
    <x v="1"/>
  </r>
  <r>
    <n v="5868"/>
    <n v="1980"/>
    <x v="0"/>
    <s v="Married"/>
    <n v="19107"/>
    <n v="1"/>
    <n v="0"/>
    <d v="2013-08-22T00:00:00"/>
    <n v="49"/>
    <n v="2"/>
    <n v="4"/>
    <n v="9"/>
    <n v="10"/>
    <n v="5"/>
    <n v="16"/>
    <n v="2"/>
    <n v="1"/>
    <n v="0"/>
    <n v="3"/>
    <n v="7"/>
    <x v="0"/>
    <x v="0"/>
    <x v="0"/>
    <x v="0"/>
    <x v="0"/>
    <n v="0"/>
    <n v="3"/>
    <n v="11"/>
    <x v="1"/>
  </r>
  <r>
    <n v="8370"/>
    <n v="1976"/>
    <x v="4"/>
    <s v="Together"/>
    <n v="75484"/>
    <n v="0"/>
    <n v="1"/>
    <d v="2012-08-02T00:00:00"/>
    <n v="50"/>
    <n v="378"/>
    <n v="97"/>
    <n v="259"/>
    <n v="197"/>
    <n v="194"/>
    <n v="34"/>
    <n v="2"/>
    <n v="7"/>
    <n v="3"/>
    <n v="6"/>
    <n v="4"/>
    <x v="0"/>
    <x v="0"/>
    <x v="0"/>
    <x v="0"/>
    <x v="0"/>
    <n v="0"/>
    <n v="3"/>
    <n v="11"/>
    <x v="1"/>
  </r>
  <r>
    <n v="9988"/>
    <n v="1976"/>
    <x v="2"/>
    <s v="Single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x v="0"/>
    <x v="0"/>
    <x v="0"/>
    <x v="0"/>
    <x v="0"/>
    <n v="0"/>
    <n v="3"/>
    <n v="11"/>
    <x v="1"/>
  </r>
  <r>
    <n v="2939"/>
    <n v="1970"/>
    <x v="2"/>
    <s v="Together"/>
    <n v="79419"/>
    <n v="0"/>
    <n v="0"/>
    <d v="2014-06-22T00:00:00"/>
    <n v="96"/>
    <n v="751"/>
    <n v="127"/>
    <n v="687"/>
    <n v="20"/>
    <n v="15"/>
    <n v="31"/>
    <n v="1"/>
    <n v="4"/>
    <n v="6"/>
    <n v="4"/>
    <n v="2"/>
    <x v="0"/>
    <x v="0"/>
    <x v="0"/>
    <x v="0"/>
    <x v="0"/>
    <n v="0"/>
    <n v="3"/>
    <n v="11"/>
    <x v="1"/>
  </r>
  <r>
    <n v="5529"/>
    <n v="1946"/>
    <x v="1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x v="0"/>
    <x v="0"/>
    <x v="0"/>
    <x v="1"/>
    <x v="0"/>
    <n v="0"/>
    <n v="3"/>
    <n v="11"/>
    <x v="1"/>
  </r>
  <r>
    <n v="9743"/>
    <n v="1955"/>
    <x v="0"/>
    <s v="Married"/>
    <n v="76998"/>
    <n v="0"/>
    <n v="1"/>
    <d v="2013-01-11T00:00:00"/>
    <n v="85"/>
    <n v="1449"/>
    <n v="89"/>
    <n v="161"/>
    <n v="69"/>
    <n v="35"/>
    <n v="107"/>
    <n v="2"/>
    <n v="11"/>
    <n v="8"/>
    <n v="8"/>
    <n v="6"/>
    <x v="0"/>
    <x v="0"/>
    <x v="1"/>
    <x v="0"/>
    <x v="0"/>
    <n v="0"/>
    <n v="3"/>
    <n v="11"/>
    <x v="1"/>
  </r>
  <r>
    <n v="5763"/>
    <n v="1972"/>
    <x v="2"/>
    <s v="Together"/>
    <n v="49854"/>
    <n v="1"/>
    <n v="0"/>
    <d v="2013-11-10T00:00:00"/>
    <n v="63"/>
    <n v="123"/>
    <n v="17"/>
    <n v="171"/>
    <n v="39"/>
    <n v="0"/>
    <n v="30"/>
    <n v="5"/>
    <n v="6"/>
    <n v="2"/>
    <n v="5"/>
    <n v="6"/>
    <x v="0"/>
    <x v="0"/>
    <x v="0"/>
    <x v="0"/>
    <x v="0"/>
    <n v="0"/>
    <n v="3"/>
    <n v="11"/>
    <x v="1"/>
  </r>
  <r>
    <n v="3478"/>
    <n v="1971"/>
    <x v="1"/>
    <s v="Married"/>
    <n v="60585"/>
    <n v="1"/>
    <n v="1"/>
    <d v="2013-06-24T00:00:00"/>
    <n v="17"/>
    <n v="267"/>
    <n v="42"/>
    <n v="309"/>
    <n v="55"/>
    <n v="42"/>
    <n v="21"/>
    <n v="10"/>
    <n v="7"/>
    <n v="4"/>
    <n v="9"/>
    <n v="5"/>
    <x v="0"/>
    <x v="0"/>
    <x v="0"/>
    <x v="0"/>
    <x v="0"/>
    <n v="0"/>
    <n v="3"/>
    <n v="11"/>
    <x v="0"/>
  </r>
  <r>
    <n v="7494"/>
    <n v="1950"/>
    <x v="1"/>
    <s v="Divorced"/>
    <n v="42873"/>
    <n v="1"/>
    <n v="1"/>
    <d v="2013-01-21T00:00:00"/>
    <n v="11"/>
    <n v="209"/>
    <n v="0"/>
    <n v="40"/>
    <n v="3"/>
    <n v="2"/>
    <n v="15"/>
    <n v="4"/>
    <n v="6"/>
    <n v="1"/>
    <n v="4"/>
    <n v="8"/>
    <x v="0"/>
    <x v="0"/>
    <x v="0"/>
    <x v="0"/>
    <x v="0"/>
    <n v="0"/>
    <n v="3"/>
    <n v="11"/>
    <x v="1"/>
  </r>
  <r>
    <n v="1763"/>
    <n v="1988"/>
    <x v="0"/>
    <s v="Together"/>
    <n v="87679"/>
    <n v="0"/>
    <n v="0"/>
    <d v="2013-07-27T00:00:00"/>
    <n v="62"/>
    <n v="1259"/>
    <n v="172"/>
    <n v="815"/>
    <n v="97"/>
    <n v="148"/>
    <n v="33"/>
    <n v="1"/>
    <n v="7"/>
    <n v="11"/>
    <n v="10"/>
    <n v="4"/>
    <x v="1"/>
    <x v="0"/>
    <x v="1"/>
    <x v="1"/>
    <x v="0"/>
    <n v="0"/>
    <n v="3"/>
    <n v="11"/>
    <x v="0"/>
  </r>
  <r>
    <n v="7250"/>
    <n v="1978"/>
    <x v="0"/>
    <s v="Together"/>
    <n v="57867"/>
    <n v="1"/>
    <n v="0"/>
    <d v="2013-10-01T00:00:00"/>
    <n v="48"/>
    <n v="344"/>
    <n v="35"/>
    <n v="178"/>
    <n v="15"/>
    <n v="23"/>
    <n v="17"/>
    <n v="7"/>
    <n v="7"/>
    <n v="2"/>
    <n v="9"/>
    <n v="6"/>
    <x v="0"/>
    <x v="0"/>
    <x v="0"/>
    <x v="0"/>
    <x v="0"/>
    <n v="0"/>
    <n v="3"/>
    <n v="11"/>
    <x v="1"/>
  </r>
  <r>
    <n v="2005"/>
    <n v="1990"/>
    <x v="0"/>
    <s v="Married"/>
    <n v="35765"/>
    <n v="1"/>
    <n v="0"/>
    <d v="2013-12-11T00:00:00"/>
    <n v="86"/>
    <n v="22"/>
    <n v="3"/>
    <n v="30"/>
    <n v="0"/>
    <n v="5"/>
    <n v="15"/>
    <n v="2"/>
    <n v="2"/>
    <n v="0"/>
    <n v="4"/>
    <n v="6"/>
    <x v="0"/>
    <x v="0"/>
    <x v="0"/>
    <x v="0"/>
    <x v="0"/>
    <n v="0"/>
    <n v="3"/>
    <n v="11"/>
    <x v="1"/>
  </r>
  <r>
    <n v="10770"/>
    <n v="1959"/>
    <x v="0"/>
    <s v="Married"/>
    <n v="65492"/>
    <n v="0"/>
    <n v="0"/>
    <d v="2014-01-26T00:00:00"/>
    <n v="73"/>
    <n v="247"/>
    <n v="161"/>
    <n v="295"/>
    <n v="210"/>
    <n v="85"/>
    <n v="47"/>
    <n v="2"/>
    <n v="4"/>
    <n v="7"/>
    <n v="13"/>
    <n v="2"/>
    <x v="0"/>
    <x v="0"/>
    <x v="0"/>
    <x v="0"/>
    <x v="0"/>
    <n v="0"/>
    <n v="3"/>
    <n v="11"/>
    <x v="1"/>
  </r>
  <r>
    <n v="6885"/>
    <n v="1977"/>
    <x v="0"/>
    <s v="Divorced"/>
    <n v="32952"/>
    <n v="1"/>
    <n v="0"/>
    <d v="2013-12-01T00:00:00"/>
    <n v="36"/>
    <n v="38"/>
    <n v="0"/>
    <n v="12"/>
    <n v="3"/>
    <n v="1"/>
    <n v="1"/>
    <n v="1"/>
    <n v="2"/>
    <n v="0"/>
    <n v="3"/>
    <n v="7"/>
    <x v="0"/>
    <x v="0"/>
    <x v="0"/>
    <x v="0"/>
    <x v="0"/>
    <n v="0"/>
    <n v="3"/>
    <n v="11"/>
    <x v="1"/>
  </r>
  <r>
    <n v="2072"/>
    <n v="1969"/>
    <x v="1"/>
    <s v="Together"/>
    <n v="53374"/>
    <n v="0"/>
    <n v="1"/>
    <d v="2012-08-16T00:00:00"/>
    <n v="34"/>
    <n v="896"/>
    <n v="10"/>
    <n v="101"/>
    <n v="13"/>
    <n v="10"/>
    <n v="34"/>
    <n v="6"/>
    <n v="4"/>
    <n v="2"/>
    <n v="9"/>
    <n v="9"/>
    <x v="1"/>
    <x v="0"/>
    <x v="0"/>
    <x v="0"/>
    <x v="0"/>
    <n v="0"/>
    <n v="3"/>
    <n v="11"/>
    <x v="0"/>
  </r>
  <r>
    <n v="9463"/>
    <n v="1959"/>
    <x v="0"/>
    <s v="Together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x v="0"/>
    <x v="0"/>
    <x v="0"/>
    <x v="0"/>
    <x v="0"/>
    <n v="0"/>
    <n v="3"/>
    <n v="11"/>
    <x v="1"/>
  </r>
  <r>
    <n v="6318"/>
    <n v="1988"/>
    <x v="0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x v="0"/>
    <x v="0"/>
    <x v="0"/>
    <x v="0"/>
    <x v="0"/>
    <n v="0"/>
    <n v="3"/>
    <n v="11"/>
    <x v="1"/>
  </r>
  <r>
    <n v="4093"/>
    <n v="1975"/>
    <x v="2"/>
    <s v="Together"/>
    <n v="53253"/>
    <n v="1"/>
    <n v="1"/>
    <d v="2013-02-11T00:00:00"/>
    <n v="61"/>
    <n v="216"/>
    <n v="9"/>
    <n v="57"/>
    <n v="20"/>
    <n v="9"/>
    <n v="125"/>
    <n v="7"/>
    <n v="4"/>
    <n v="3"/>
    <n v="5"/>
    <n v="5"/>
    <x v="0"/>
    <x v="0"/>
    <x v="0"/>
    <x v="0"/>
    <x v="0"/>
    <n v="0"/>
    <n v="3"/>
    <n v="11"/>
    <x v="1"/>
  </r>
  <r>
    <n v="5751"/>
    <n v="1973"/>
    <x v="4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x v="0"/>
    <x v="0"/>
    <x v="0"/>
    <x v="0"/>
    <x v="0"/>
    <n v="0"/>
    <n v="3"/>
    <n v="11"/>
    <x v="1"/>
  </r>
  <r>
    <n v="3340"/>
    <n v="1977"/>
    <x v="0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x v="0"/>
    <x v="0"/>
    <x v="0"/>
    <x v="0"/>
    <x v="0"/>
    <n v="0"/>
    <n v="3"/>
    <n v="11"/>
    <x v="0"/>
  </r>
  <r>
    <n v="3594"/>
    <n v="1973"/>
    <x v="2"/>
    <s v="Married"/>
    <n v="54108"/>
    <n v="1"/>
    <n v="1"/>
    <d v="2012-11-05T00:00:00"/>
    <n v="74"/>
    <n v="539"/>
    <n v="6"/>
    <n v="91"/>
    <n v="8"/>
    <n v="6"/>
    <n v="97"/>
    <n v="13"/>
    <n v="8"/>
    <n v="2"/>
    <n v="9"/>
    <n v="8"/>
    <x v="0"/>
    <x v="0"/>
    <x v="0"/>
    <x v="0"/>
    <x v="0"/>
    <n v="0"/>
    <n v="3"/>
    <n v="11"/>
    <x v="1"/>
  </r>
  <r>
    <n v="3584"/>
    <n v="1955"/>
    <x v="1"/>
    <s v="Single"/>
    <n v="49667"/>
    <n v="0"/>
    <n v="0"/>
    <d v="2012-08-20T00:00:00"/>
    <n v="35"/>
    <n v="1181"/>
    <n v="26"/>
    <n v="120"/>
    <n v="17"/>
    <n v="13"/>
    <n v="39"/>
    <n v="2"/>
    <n v="5"/>
    <n v="10"/>
    <n v="5"/>
    <n v="8"/>
    <x v="1"/>
    <x v="0"/>
    <x v="0"/>
    <x v="0"/>
    <x v="0"/>
    <n v="0"/>
    <n v="3"/>
    <n v="11"/>
    <x v="0"/>
  </r>
  <r>
    <n v="3643"/>
    <n v="1974"/>
    <x v="2"/>
    <s v="Married"/>
    <n v="63206"/>
    <n v="0"/>
    <n v="0"/>
    <d v="2014-03-20T00:00:00"/>
    <n v="65"/>
    <n v="750"/>
    <n v="8"/>
    <n v="125"/>
    <n v="11"/>
    <n v="8"/>
    <n v="26"/>
    <n v="1"/>
    <n v="4"/>
    <n v="3"/>
    <n v="6"/>
    <n v="2"/>
    <x v="0"/>
    <x v="0"/>
    <x v="1"/>
    <x v="0"/>
    <x v="0"/>
    <n v="0"/>
    <n v="3"/>
    <n v="11"/>
    <x v="1"/>
  </r>
  <r>
    <n v="851"/>
    <n v="1972"/>
    <x v="2"/>
    <s v="Married"/>
    <n v="57136"/>
    <n v="1"/>
    <n v="1"/>
    <d v="2013-07-09T00:00:00"/>
    <n v="48"/>
    <n v="306"/>
    <n v="5"/>
    <n v="109"/>
    <n v="21"/>
    <n v="109"/>
    <n v="92"/>
    <n v="9"/>
    <n v="5"/>
    <n v="2"/>
    <n v="10"/>
    <n v="6"/>
    <x v="0"/>
    <x v="0"/>
    <x v="0"/>
    <x v="0"/>
    <x v="0"/>
    <n v="0"/>
    <n v="3"/>
    <n v="11"/>
    <x v="1"/>
  </r>
  <r>
    <n v="7706"/>
    <n v="1975"/>
    <x v="4"/>
    <s v="Together"/>
    <n v="46772"/>
    <n v="0"/>
    <n v="1"/>
    <d v="2012-11-07T00:00:00"/>
    <n v="88"/>
    <n v="350"/>
    <n v="104"/>
    <n v="189"/>
    <n v="197"/>
    <n v="151"/>
    <n v="57"/>
    <n v="6"/>
    <n v="11"/>
    <n v="8"/>
    <n v="5"/>
    <n v="8"/>
    <x v="1"/>
    <x v="0"/>
    <x v="0"/>
    <x v="0"/>
    <x v="0"/>
    <n v="0"/>
    <n v="3"/>
    <n v="11"/>
    <x v="1"/>
  </r>
  <r>
    <n v="3967"/>
    <n v="1971"/>
    <x v="1"/>
    <s v="Married"/>
    <n v="78931"/>
    <n v="0"/>
    <n v="0"/>
    <d v="2013-10-25T00:00:00"/>
    <n v="19"/>
    <n v="331"/>
    <n v="197"/>
    <n v="170"/>
    <n v="58"/>
    <n v="152"/>
    <n v="35"/>
    <n v="1"/>
    <n v="2"/>
    <n v="8"/>
    <n v="13"/>
    <n v="1"/>
    <x v="0"/>
    <x v="0"/>
    <x v="0"/>
    <x v="0"/>
    <x v="0"/>
    <n v="0"/>
    <n v="3"/>
    <n v="11"/>
    <x v="1"/>
  </r>
  <r>
    <n v="10128"/>
    <n v="1958"/>
    <x v="0"/>
    <s v="Together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x v="0"/>
    <x v="0"/>
    <x v="0"/>
    <x v="0"/>
    <x v="0"/>
    <n v="0"/>
    <n v="3"/>
    <n v="11"/>
    <x v="1"/>
  </r>
  <r>
    <n v="486"/>
    <n v="1988"/>
    <x v="0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x v="0"/>
    <x v="0"/>
    <x v="0"/>
    <x v="0"/>
    <x v="0"/>
    <n v="0"/>
    <n v="3"/>
    <n v="11"/>
    <x v="1"/>
  </r>
  <r>
    <n v="9"/>
    <n v="1975"/>
    <x v="2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x v="0"/>
    <x v="0"/>
    <x v="0"/>
    <x v="0"/>
    <x v="0"/>
    <n v="0"/>
    <n v="3"/>
    <n v="11"/>
    <x v="1"/>
  </r>
  <r>
    <n v="9451"/>
    <n v="1965"/>
    <x v="0"/>
    <s v="Married"/>
    <n v="73538"/>
    <n v="0"/>
    <n v="1"/>
    <d v="2012-11-25T00:00:00"/>
    <n v="92"/>
    <n v="811"/>
    <n v="76"/>
    <n v="428"/>
    <n v="99"/>
    <n v="137"/>
    <n v="107"/>
    <n v="3"/>
    <n v="10"/>
    <n v="4"/>
    <n v="9"/>
    <n v="7"/>
    <x v="0"/>
    <x v="0"/>
    <x v="0"/>
    <x v="0"/>
    <x v="0"/>
    <n v="0"/>
    <n v="3"/>
    <n v="11"/>
    <x v="1"/>
  </r>
  <r>
    <n v="9264"/>
    <n v="1986"/>
    <x v="0"/>
    <s v="Married"/>
    <n v="79529"/>
    <n v="0"/>
    <n v="0"/>
    <d v="2014-04-27T00:00:00"/>
    <n v="1"/>
    <n v="423"/>
    <n v="42"/>
    <n v="706"/>
    <n v="73"/>
    <n v="197"/>
    <n v="197"/>
    <n v="1"/>
    <n v="4"/>
    <n v="8"/>
    <n v="9"/>
    <n v="2"/>
    <x v="0"/>
    <x v="0"/>
    <x v="0"/>
    <x v="0"/>
    <x v="0"/>
    <n v="0"/>
    <n v="3"/>
    <n v="11"/>
    <x v="1"/>
  </r>
  <r>
    <n v="3865"/>
    <n v="1977"/>
    <x v="4"/>
    <s v="Together"/>
    <n v="20981"/>
    <n v="0"/>
    <n v="0"/>
    <d v="2013-04-30T00:00:00"/>
    <n v="14"/>
    <n v="2"/>
    <n v="12"/>
    <n v="10"/>
    <n v="6"/>
    <n v="13"/>
    <n v="30"/>
    <n v="1"/>
    <n v="3"/>
    <n v="1"/>
    <n v="2"/>
    <n v="8"/>
    <x v="0"/>
    <x v="0"/>
    <x v="0"/>
    <x v="0"/>
    <x v="0"/>
    <n v="0"/>
    <n v="3"/>
    <n v="11"/>
    <x v="0"/>
  </r>
  <r>
    <n v="2853"/>
    <n v="1980"/>
    <x v="0"/>
    <s v="Single"/>
    <n v="51766"/>
    <n v="1"/>
    <n v="0"/>
    <d v="2014-03-11T00:00:00"/>
    <n v="74"/>
    <n v="60"/>
    <n v="51"/>
    <n v="87"/>
    <n v="6"/>
    <n v="20"/>
    <n v="51"/>
    <n v="2"/>
    <n v="4"/>
    <n v="2"/>
    <n v="4"/>
    <n v="5"/>
    <x v="0"/>
    <x v="0"/>
    <x v="0"/>
    <x v="0"/>
    <x v="0"/>
    <n v="0"/>
    <n v="3"/>
    <n v="11"/>
    <x v="1"/>
  </r>
  <r>
    <n v="1490"/>
    <n v="1962"/>
    <x v="0"/>
    <s v="Married"/>
    <n v="55759"/>
    <n v="0"/>
    <n v="1"/>
    <d v="2012-11-28T00:00:00"/>
    <n v="84"/>
    <n v="675"/>
    <n v="0"/>
    <n v="85"/>
    <n v="10"/>
    <n v="7"/>
    <n v="77"/>
    <n v="5"/>
    <n v="10"/>
    <n v="3"/>
    <n v="8"/>
    <n v="8"/>
    <x v="0"/>
    <x v="0"/>
    <x v="0"/>
    <x v="0"/>
    <x v="0"/>
    <n v="0"/>
    <n v="3"/>
    <n v="11"/>
    <x v="1"/>
  </r>
  <r>
    <n v="6310"/>
    <n v="1978"/>
    <x v="0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x v="0"/>
    <x v="0"/>
    <x v="0"/>
    <x v="0"/>
    <x v="0"/>
    <n v="0"/>
    <n v="3"/>
    <n v="11"/>
    <x v="1"/>
  </r>
  <r>
    <n v="10380"/>
    <n v="1972"/>
    <x v="2"/>
    <s v="Married"/>
    <n v="37787"/>
    <n v="1"/>
    <n v="0"/>
    <d v="2013-09-20T00:00:00"/>
    <n v="50"/>
    <n v="40"/>
    <n v="1"/>
    <n v="40"/>
    <n v="4"/>
    <n v="3"/>
    <n v="18"/>
    <n v="1"/>
    <n v="3"/>
    <n v="0"/>
    <n v="3"/>
    <n v="8"/>
    <x v="0"/>
    <x v="0"/>
    <x v="0"/>
    <x v="0"/>
    <x v="0"/>
    <n v="0"/>
    <n v="3"/>
    <n v="11"/>
    <x v="1"/>
  </r>
  <r>
    <n v="3887"/>
    <n v="1970"/>
    <x v="0"/>
    <s v="Single"/>
    <n v="27242"/>
    <n v="1"/>
    <n v="0"/>
    <d v="2012-11-11T00:00:00"/>
    <n v="2"/>
    <n v="3"/>
    <n v="17"/>
    <n v="26"/>
    <n v="20"/>
    <n v="1"/>
    <n v="39"/>
    <n v="2"/>
    <n v="2"/>
    <n v="0"/>
    <n v="3"/>
    <n v="9"/>
    <x v="0"/>
    <x v="0"/>
    <x v="0"/>
    <x v="0"/>
    <x v="0"/>
    <n v="0"/>
    <n v="3"/>
    <n v="11"/>
    <x v="0"/>
  </r>
  <r>
    <n v="4278"/>
    <n v="1983"/>
    <x v="1"/>
    <s v="Single"/>
    <n v="87188"/>
    <n v="0"/>
    <n v="0"/>
    <d v="2013-06-03T00:00:00"/>
    <n v="73"/>
    <n v="910"/>
    <n v="111"/>
    <n v="724"/>
    <n v="49"/>
    <n v="74"/>
    <n v="55"/>
    <n v="1"/>
    <n v="10"/>
    <n v="2"/>
    <n v="6"/>
    <n v="3"/>
    <x v="0"/>
    <x v="0"/>
    <x v="0"/>
    <x v="0"/>
    <x v="0"/>
    <n v="0"/>
    <n v="3"/>
    <n v="11"/>
    <x v="0"/>
  </r>
  <r>
    <n v="8643"/>
    <n v="1971"/>
    <x v="0"/>
    <s v="Together"/>
    <n v="69930"/>
    <n v="0"/>
    <n v="0"/>
    <d v="2013-05-26T00:00:00"/>
    <n v="21"/>
    <n v="252"/>
    <n v="98"/>
    <n v="827"/>
    <n v="219"/>
    <n v="70"/>
    <n v="196"/>
    <n v="1"/>
    <n v="4"/>
    <n v="5"/>
    <n v="12"/>
    <n v="3"/>
    <x v="0"/>
    <x v="0"/>
    <x v="0"/>
    <x v="0"/>
    <x v="0"/>
    <n v="0"/>
    <n v="3"/>
    <n v="11"/>
    <x v="1"/>
  </r>
  <r>
    <n v="1998"/>
    <n v="1976"/>
    <x v="0"/>
    <s v="Single"/>
    <n v="37697"/>
    <n v="1"/>
    <n v="0"/>
    <d v="2014-02-07T00:00:00"/>
    <n v="82"/>
    <n v="34"/>
    <n v="6"/>
    <n v="21"/>
    <n v="11"/>
    <n v="4"/>
    <n v="8"/>
    <n v="1"/>
    <n v="2"/>
    <n v="1"/>
    <n v="3"/>
    <n v="6"/>
    <x v="0"/>
    <x v="0"/>
    <x v="0"/>
    <x v="0"/>
    <x v="0"/>
    <n v="0"/>
    <n v="3"/>
    <n v="11"/>
    <x v="1"/>
  </r>
  <r>
    <n v="10795"/>
    <n v="1973"/>
    <x v="1"/>
    <s v="Married"/>
    <n v="37401"/>
    <n v="1"/>
    <n v="0"/>
    <d v="2014-05-06T00:00:00"/>
    <n v="14"/>
    <n v="19"/>
    <n v="3"/>
    <n v="19"/>
    <n v="3"/>
    <n v="1"/>
    <n v="3"/>
    <n v="2"/>
    <n v="2"/>
    <n v="0"/>
    <n v="3"/>
    <n v="7"/>
    <x v="0"/>
    <x v="0"/>
    <x v="0"/>
    <x v="0"/>
    <x v="0"/>
    <n v="0"/>
    <n v="3"/>
    <n v="11"/>
    <x v="1"/>
  </r>
  <r>
    <n v="11110"/>
    <n v="1973"/>
    <x v="0"/>
    <s v="Single"/>
    <n v="3502"/>
    <n v="1"/>
    <n v="0"/>
    <d v="2013-04-13T00:00:00"/>
    <n v="56"/>
    <n v="2"/>
    <n v="1"/>
    <n v="1"/>
    <n v="0"/>
    <n v="0"/>
    <n v="1"/>
    <n v="0"/>
    <n v="0"/>
    <n v="0"/>
    <n v="0"/>
    <n v="14"/>
    <x v="0"/>
    <x v="0"/>
    <x v="0"/>
    <x v="0"/>
    <x v="0"/>
    <n v="0"/>
    <n v="3"/>
    <n v="11"/>
    <x v="1"/>
  </r>
  <r>
    <n v="2408"/>
    <n v="1976"/>
    <x v="0"/>
    <s v="Married"/>
    <n v="58597"/>
    <n v="1"/>
    <n v="1"/>
    <d v="2012-11-20T00:00:00"/>
    <n v="20"/>
    <n v="490"/>
    <n v="0"/>
    <n v="184"/>
    <n v="10"/>
    <n v="28"/>
    <n v="21"/>
    <n v="12"/>
    <n v="7"/>
    <n v="4"/>
    <n v="9"/>
    <n v="7"/>
    <x v="0"/>
    <x v="0"/>
    <x v="0"/>
    <x v="0"/>
    <x v="0"/>
    <n v="0"/>
    <n v="3"/>
    <n v="11"/>
    <x v="1"/>
  </r>
  <r>
    <n v="202"/>
    <n v="1948"/>
    <x v="1"/>
    <s v="Widow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x v="0"/>
    <x v="0"/>
    <x v="0"/>
    <x v="0"/>
    <x v="0"/>
    <n v="0"/>
    <n v="3"/>
    <n v="11"/>
    <x v="1"/>
  </r>
  <r>
    <n v="7998"/>
    <n v="1958"/>
    <x v="0"/>
    <s v="Together"/>
    <n v="28087"/>
    <n v="1"/>
    <n v="1"/>
    <d v="2012-12-11T00:00:00"/>
    <n v="77"/>
    <n v="53"/>
    <n v="8"/>
    <n v="17"/>
    <n v="13"/>
    <n v="0"/>
    <n v="21"/>
    <n v="3"/>
    <n v="2"/>
    <n v="2"/>
    <n v="2"/>
    <n v="7"/>
    <x v="0"/>
    <x v="0"/>
    <x v="0"/>
    <x v="0"/>
    <x v="0"/>
    <n v="0"/>
    <n v="3"/>
    <n v="11"/>
    <x v="1"/>
  </r>
  <r>
    <n v="830"/>
    <n v="1987"/>
    <x v="1"/>
    <s v="Single"/>
    <n v="74004"/>
    <n v="0"/>
    <n v="0"/>
    <d v="2014-02-24T00:00:00"/>
    <n v="5"/>
    <n v="784"/>
    <n v="48"/>
    <n v="560"/>
    <n v="42"/>
    <n v="176"/>
    <n v="48"/>
    <n v="1"/>
    <n v="4"/>
    <n v="6"/>
    <n v="4"/>
    <n v="3"/>
    <x v="0"/>
    <x v="0"/>
    <x v="1"/>
    <x v="1"/>
    <x v="0"/>
    <n v="0"/>
    <n v="3"/>
    <n v="11"/>
    <x v="0"/>
  </r>
  <r>
    <n v="3536"/>
    <n v="1960"/>
    <x v="0"/>
    <s v="Together"/>
    <n v="19740"/>
    <n v="0"/>
    <n v="1"/>
    <d v="2013-03-24T00:00:00"/>
    <n v="65"/>
    <n v="7"/>
    <n v="11"/>
    <n v="3"/>
    <n v="10"/>
    <n v="4"/>
    <n v="20"/>
    <n v="2"/>
    <n v="1"/>
    <n v="1"/>
    <n v="3"/>
    <n v="5"/>
    <x v="0"/>
    <x v="0"/>
    <x v="0"/>
    <x v="0"/>
    <x v="0"/>
    <n v="0"/>
    <n v="3"/>
    <n v="11"/>
    <x v="1"/>
  </r>
  <r>
    <n v="6050"/>
    <n v="1975"/>
    <x v="4"/>
    <s v="Married"/>
    <n v="57036"/>
    <n v="0"/>
    <n v="1"/>
    <d v="2012-12-11T00:00:00"/>
    <n v="33"/>
    <n v="1171"/>
    <n v="43"/>
    <n v="219"/>
    <n v="19"/>
    <n v="14"/>
    <n v="47"/>
    <n v="4"/>
    <n v="6"/>
    <n v="3"/>
    <n v="13"/>
    <n v="9"/>
    <x v="1"/>
    <x v="0"/>
    <x v="0"/>
    <x v="0"/>
    <x v="0"/>
    <n v="0"/>
    <n v="3"/>
    <n v="11"/>
    <x v="1"/>
  </r>
  <r>
    <n v="125"/>
    <n v="1958"/>
    <x v="4"/>
    <s v="Together"/>
    <n v="53083"/>
    <n v="1"/>
    <n v="1"/>
    <d v="2013-05-15T00:00:00"/>
    <n v="65"/>
    <n v="215"/>
    <n v="7"/>
    <n v="33"/>
    <n v="3"/>
    <n v="0"/>
    <n v="13"/>
    <n v="6"/>
    <n v="5"/>
    <n v="1"/>
    <n v="5"/>
    <n v="7"/>
    <x v="0"/>
    <x v="1"/>
    <x v="0"/>
    <x v="0"/>
    <x v="0"/>
    <n v="0"/>
    <n v="3"/>
    <n v="11"/>
    <x v="1"/>
  </r>
  <r>
    <n v="3463"/>
    <n v="1975"/>
    <x v="1"/>
    <s v="Married"/>
    <n v="69283"/>
    <n v="0"/>
    <n v="1"/>
    <d v="2014-06-14T00:00:00"/>
    <n v="41"/>
    <n v="674"/>
    <n v="62"/>
    <n v="134"/>
    <n v="0"/>
    <n v="26"/>
    <n v="8"/>
    <n v="4"/>
    <n v="7"/>
    <n v="3"/>
    <n v="13"/>
    <n v="5"/>
    <x v="0"/>
    <x v="0"/>
    <x v="0"/>
    <x v="0"/>
    <x v="0"/>
    <n v="0"/>
    <n v="3"/>
    <n v="11"/>
    <x v="1"/>
  </r>
  <r>
    <n v="2804"/>
    <n v="1975"/>
    <x v="2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x v="0"/>
    <x v="0"/>
    <x v="0"/>
    <x v="0"/>
    <x v="0"/>
    <n v="0"/>
    <n v="3"/>
    <n v="11"/>
    <x v="0"/>
  </r>
  <r>
    <n v="3745"/>
    <n v="1988"/>
    <x v="4"/>
    <s v="Married"/>
    <n v="23331"/>
    <n v="1"/>
    <n v="0"/>
    <d v="2012-09-04T00:00:00"/>
    <n v="92"/>
    <n v="5"/>
    <n v="36"/>
    <n v="7"/>
    <n v="0"/>
    <n v="10"/>
    <n v="45"/>
    <n v="2"/>
    <n v="3"/>
    <n v="0"/>
    <n v="3"/>
    <n v="8"/>
    <x v="0"/>
    <x v="0"/>
    <x v="0"/>
    <x v="0"/>
    <x v="0"/>
    <n v="0"/>
    <n v="3"/>
    <n v="11"/>
    <x v="1"/>
  </r>
  <r>
    <n v="9771"/>
    <n v="1988"/>
    <x v="4"/>
    <s v="Single"/>
    <n v="23331"/>
    <n v="1"/>
    <n v="0"/>
    <d v="2012-10-05T00:00:00"/>
    <n v="97"/>
    <n v="104"/>
    <n v="20"/>
    <n v="101"/>
    <n v="24"/>
    <n v="15"/>
    <n v="5"/>
    <n v="6"/>
    <n v="5"/>
    <n v="1"/>
    <n v="5"/>
    <n v="9"/>
    <x v="0"/>
    <x v="0"/>
    <x v="0"/>
    <x v="0"/>
    <x v="0"/>
    <n v="0"/>
    <n v="3"/>
    <n v="11"/>
    <x v="1"/>
  </r>
  <r>
    <n v="451"/>
    <n v="1989"/>
    <x v="0"/>
    <s v="Single"/>
    <n v="9255"/>
    <n v="1"/>
    <n v="0"/>
    <d v="2013-12-20T00:00:00"/>
    <n v="91"/>
    <n v="9"/>
    <n v="0"/>
    <n v="7"/>
    <n v="2"/>
    <n v="0"/>
    <n v="4"/>
    <n v="1"/>
    <n v="1"/>
    <n v="1"/>
    <n v="2"/>
    <n v="8"/>
    <x v="0"/>
    <x v="0"/>
    <x v="0"/>
    <x v="0"/>
    <x v="0"/>
    <n v="0"/>
    <n v="3"/>
    <n v="11"/>
    <x v="1"/>
  </r>
  <r>
    <n v="10530"/>
    <n v="1959"/>
    <x v="1"/>
    <s v="Widow"/>
    <n v="67786"/>
    <n v="0"/>
    <n v="0"/>
    <d v="2013-12-07T00:00:00"/>
    <n v="0"/>
    <n v="431"/>
    <n v="82"/>
    <n v="441"/>
    <n v="80"/>
    <n v="20"/>
    <n v="102"/>
    <n v="1"/>
    <n v="3"/>
    <n v="6"/>
    <n v="6"/>
    <n v="1"/>
    <x v="0"/>
    <x v="0"/>
    <x v="0"/>
    <x v="0"/>
    <x v="0"/>
    <n v="0"/>
    <n v="3"/>
    <n v="11"/>
    <x v="0"/>
  </r>
  <r>
    <n v="1079"/>
    <n v="1971"/>
    <x v="1"/>
    <s v="Married"/>
    <n v="71969"/>
    <n v="0"/>
    <n v="1"/>
    <d v="2012-10-16T00:00:00"/>
    <n v="59"/>
    <n v="1000"/>
    <n v="0"/>
    <n v="76"/>
    <n v="0"/>
    <n v="0"/>
    <n v="10"/>
    <n v="3"/>
    <n v="3"/>
    <n v="4"/>
    <n v="9"/>
    <n v="8"/>
    <x v="0"/>
    <x v="1"/>
    <x v="0"/>
    <x v="0"/>
    <x v="0"/>
    <n v="0"/>
    <n v="3"/>
    <n v="11"/>
    <x v="1"/>
  </r>
  <r>
    <n v="8920"/>
    <n v="1967"/>
    <x v="2"/>
    <s v="Single"/>
    <n v="59235"/>
    <n v="1"/>
    <n v="0"/>
    <d v="2013-01-12T00:00:00"/>
    <n v="4"/>
    <n v="448"/>
    <n v="40"/>
    <n v="469"/>
    <n v="80"/>
    <n v="0"/>
    <n v="91"/>
    <n v="3"/>
    <n v="11"/>
    <n v="2"/>
    <n v="12"/>
    <n v="7"/>
    <x v="0"/>
    <x v="0"/>
    <x v="0"/>
    <x v="0"/>
    <x v="0"/>
    <n v="0"/>
    <n v="3"/>
    <n v="11"/>
    <x v="1"/>
  </r>
  <r>
    <n v="6678"/>
    <n v="1989"/>
    <x v="0"/>
    <s v="Together"/>
    <n v="31928"/>
    <n v="1"/>
    <n v="0"/>
    <d v="2014-03-28T00:00:00"/>
    <n v="5"/>
    <n v="33"/>
    <n v="4"/>
    <n v="24"/>
    <n v="4"/>
    <n v="2"/>
    <n v="5"/>
    <n v="2"/>
    <n v="3"/>
    <n v="0"/>
    <n v="4"/>
    <n v="7"/>
    <x v="0"/>
    <x v="0"/>
    <x v="0"/>
    <x v="0"/>
    <x v="0"/>
    <n v="0"/>
    <n v="3"/>
    <n v="11"/>
    <x v="1"/>
  </r>
  <r>
    <n v="3852"/>
    <n v="1961"/>
    <x v="2"/>
    <s v="Together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x v="0"/>
    <x v="0"/>
    <x v="0"/>
    <x v="0"/>
    <x v="0"/>
    <n v="0"/>
    <n v="3"/>
    <n v="11"/>
    <x v="1"/>
  </r>
  <r>
    <n v="528"/>
    <n v="1978"/>
    <x v="0"/>
    <s v="Married"/>
    <n v="65819"/>
    <n v="0"/>
    <n v="0"/>
    <d v="2012-11-29T00:00:00"/>
    <n v="99"/>
    <n v="267"/>
    <n v="38"/>
    <n v="701"/>
    <n v="149"/>
    <n v="165"/>
    <n v="63"/>
    <n v="1"/>
    <n v="5"/>
    <n v="4"/>
    <n v="10"/>
    <n v="3"/>
    <x v="0"/>
    <x v="0"/>
    <x v="0"/>
    <x v="0"/>
    <x v="0"/>
    <n v="0"/>
    <n v="3"/>
    <n v="11"/>
    <x v="1"/>
  </r>
  <r>
    <n v="73"/>
    <n v="1953"/>
    <x v="1"/>
    <s v="Single"/>
    <n v="51411"/>
    <n v="1"/>
    <n v="2"/>
    <d v="2013-05-26T00:00:00"/>
    <n v="81"/>
    <n v="14"/>
    <n v="0"/>
    <n v="3"/>
    <n v="0"/>
    <n v="0"/>
    <n v="1"/>
    <n v="1"/>
    <n v="0"/>
    <n v="0"/>
    <n v="3"/>
    <n v="5"/>
    <x v="0"/>
    <x v="0"/>
    <x v="0"/>
    <x v="0"/>
    <x v="0"/>
    <n v="0"/>
    <n v="3"/>
    <n v="11"/>
    <x v="1"/>
  </r>
  <r>
    <n v="5589"/>
    <n v="1964"/>
    <x v="0"/>
    <s v="Divorced"/>
    <n v="51983"/>
    <n v="0"/>
    <n v="1"/>
    <d v="2012-08-31T00:00:00"/>
    <n v="95"/>
    <n v="631"/>
    <n v="0"/>
    <n v="115"/>
    <n v="10"/>
    <n v="7"/>
    <n v="30"/>
    <n v="3"/>
    <n v="9"/>
    <n v="2"/>
    <n v="10"/>
    <n v="7"/>
    <x v="0"/>
    <x v="0"/>
    <x v="0"/>
    <x v="0"/>
    <x v="0"/>
    <n v="0"/>
    <n v="3"/>
    <n v="11"/>
    <x v="1"/>
  </r>
  <r>
    <n v="10212"/>
    <n v="1986"/>
    <x v="2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x v="0"/>
    <x v="0"/>
    <x v="0"/>
    <x v="0"/>
    <x v="0"/>
    <n v="0"/>
    <n v="3"/>
    <n v="11"/>
    <x v="1"/>
  </r>
  <r>
    <n v="6365"/>
    <n v="1987"/>
    <x v="4"/>
    <s v="Married"/>
    <n v="30390"/>
    <n v="0"/>
    <n v="0"/>
    <d v="2013-09-02T00:00:00"/>
    <n v="5"/>
    <n v="10"/>
    <n v="12"/>
    <n v="12"/>
    <n v="25"/>
    <n v="1"/>
    <n v="20"/>
    <n v="1"/>
    <n v="2"/>
    <n v="0"/>
    <n v="3"/>
    <n v="6"/>
    <x v="0"/>
    <x v="0"/>
    <x v="0"/>
    <x v="0"/>
    <x v="0"/>
    <n v="0"/>
    <n v="3"/>
    <n v="11"/>
    <x v="1"/>
  </r>
  <r>
    <n v="5636"/>
    <n v="1963"/>
    <x v="0"/>
    <s v="Single"/>
    <n v="30983"/>
    <n v="0"/>
    <n v="0"/>
    <d v="2012-11-09T00:00:00"/>
    <n v="50"/>
    <n v="51"/>
    <n v="4"/>
    <n v="50"/>
    <n v="12"/>
    <n v="1"/>
    <n v="49"/>
    <n v="1"/>
    <n v="4"/>
    <n v="0"/>
    <n v="3"/>
    <n v="8"/>
    <x v="0"/>
    <x v="0"/>
    <x v="0"/>
    <x v="0"/>
    <x v="0"/>
    <n v="0"/>
    <n v="3"/>
    <n v="11"/>
    <x v="0"/>
  </r>
  <r>
    <n v="591"/>
    <n v="1957"/>
    <x v="0"/>
    <s v="Widow"/>
    <n v="66033"/>
    <n v="0"/>
    <n v="1"/>
    <d v="2013-01-20T00:00:00"/>
    <n v="76"/>
    <n v="293"/>
    <n v="35"/>
    <n v="179"/>
    <n v="46"/>
    <n v="59"/>
    <n v="65"/>
    <n v="2"/>
    <n v="8"/>
    <n v="3"/>
    <n v="7"/>
    <n v="7"/>
    <x v="0"/>
    <x v="0"/>
    <x v="0"/>
    <x v="0"/>
    <x v="0"/>
    <n v="0"/>
    <n v="3"/>
    <n v="11"/>
    <x v="1"/>
  </r>
  <r>
    <n v="2217"/>
    <n v="1975"/>
    <x v="4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x v="0"/>
    <x v="0"/>
    <x v="0"/>
    <x v="0"/>
    <x v="0"/>
    <n v="0"/>
    <n v="3"/>
    <n v="11"/>
    <x v="1"/>
  </r>
  <r>
    <n v="2544"/>
    <n v="1951"/>
    <x v="2"/>
    <s v="Divorced"/>
    <n v="57530"/>
    <n v="0"/>
    <n v="1"/>
    <d v="2013-10-12T00:00:00"/>
    <n v="68"/>
    <n v="50"/>
    <n v="1"/>
    <n v="27"/>
    <n v="6"/>
    <n v="7"/>
    <n v="1"/>
    <n v="1"/>
    <n v="1"/>
    <n v="1"/>
    <n v="4"/>
    <n v="1"/>
    <x v="0"/>
    <x v="0"/>
    <x v="0"/>
    <x v="0"/>
    <x v="0"/>
    <n v="0"/>
    <n v="3"/>
    <n v="11"/>
    <x v="1"/>
  </r>
  <r>
    <n v="7725"/>
    <n v="1965"/>
    <x v="4"/>
    <s v="Married"/>
    <n v="76800"/>
    <n v="0"/>
    <n v="0"/>
    <d v="2014-03-08T00:00:00"/>
    <n v="33"/>
    <n v="173"/>
    <n v="26"/>
    <n v="255"/>
    <n v="35"/>
    <n v="71"/>
    <n v="81"/>
    <n v="1"/>
    <n v="4"/>
    <n v="4"/>
    <n v="7"/>
    <n v="1"/>
    <x v="0"/>
    <x v="0"/>
    <x v="0"/>
    <x v="0"/>
    <x v="0"/>
    <n v="0"/>
    <n v="3"/>
    <n v="11"/>
    <x v="1"/>
  </r>
  <r>
    <n v="8091"/>
    <n v="1956"/>
    <x v="0"/>
    <s v="Married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x v="0"/>
    <x v="0"/>
    <x v="0"/>
    <x v="0"/>
    <x v="0"/>
    <n v="0"/>
    <n v="3"/>
    <n v="11"/>
    <x v="1"/>
  </r>
  <r>
    <n v="7321"/>
    <n v="1962"/>
    <x v="0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x v="0"/>
    <x v="0"/>
    <x v="0"/>
    <x v="1"/>
    <x v="0"/>
    <n v="0"/>
    <n v="3"/>
    <n v="11"/>
    <x v="1"/>
  </r>
  <r>
    <n v="5462"/>
    <n v="1974"/>
    <x v="0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x v="0"/>
    <x v="0"/>
    <x v="0"/>
    <x v="0"/>
    <x v="0"/>
    <n v="0"/>
    <n v="3"/>
    <n v="11"/>
    <x v="1"/>
  </r>
  <r>
    <n v="7791"/>
    <n v="1967"/>
    <x v="2"/>
    <s v="Married"/>
    <n v="37054"/>
    <n v="1"/>
    <n v="1"/>
    <d v="2013-09-15T00:00:00"/>
    <n v="89"/>
    <n v="12"/>
    <n v="1"/>
    <n v="6"/>
    <n v="0"/>
    <n v="1"/>
    <n v="5"/>
    <n v="2"/>
    <n v="1"/>
    <n v="0"/>
    <n v="3"/>
    <n v="7"/>
    <x v="0"/>
    <x v="0"/>
    <x v="0"/>
    <x v="0"/>
    <x v="0"/>
    <n v="0"/>
    <n v="3"/>
    <n v="11"/>
    <x v="1"/>
  </r>
  <r>
    <n v="955"/>
    <n v="1962"/>
    <x v="2"/>
    <s v="Together"/>
    <n v="47175"/>
    <n v="1"/>
    <n v="1"/>
    <d v="2012-10-28T00:00:00"/>
    <n v="81"/>
    <n v="167"/>
    <n v="2"/>
    <n v="44"/>
    <n v="6"/>
    <n v="2"/>
    <n v="19"/>
    <n v="7"/>
    <n v="4"/>
    <n v="2"/>
    <n v="4"/>
    <n v="8"/>
    <x v="1"/>
    <x v="0"/>
    <x v="0"/>
    <x v="0"/>
    <x v="0"/>
    <n v="0"/>
    <n v="3"/>
    <n v="11"/>
    <x v="0"/>
  </r>
  <r>
    <n v="4037"/>
    <n v="1976"/>
    <x v="0"/>
    <s v="Divorced"/>
    <n v="31859"/>
    <n v="1"/>
    <n v="0"/>
    <d v="2013-06-14T00:00:00"/>
    <n v="77"/>
    <n v="3"/>
    <n v="1"/>
    <n v="3"/>
    <n v="8"/>
    <n v="0"/>
    <n v="5"/>
    <n v="1"/>
    <n v="1"/>
    <n v="0"/>
    <n v="2"/>
    <n v="7"/>
    <x v="0"/>
    <x v="0"/>
    <x v="0"/>
    <x v="0"/>
    <x v="0"/>
    <n v="0"/>
    <n v="3"/>
    <n v="11"/>
    <x v="1"/>
  </r>
  <r>
    <n v="6642"/>
    <n v="1961"/>
    <x v="0"/>
    <s v="Divorced"/>
    <n v="27215"/>
    <n v="2"/>
    <n v="1"/>
    <d v="2013-01-23T00:00:00"/>
    <n v="50"/>
    <n v="30"/>
    <n v="5"/>
    <n v="22"/>
    <n v="8"/>
    <n v="9"/>
    <n v="28"/>
    <n v="4"/>
    <n v="2"/>
    <n v="1"/>
    <n v="4"/>
    <n v="6"/>
    <x v="0"/>
    <x v="0"/>
    <x v="0"/>
    <x v="0"/>
    <x v="0"/>
    <n v="0"/>
    <n v="3"/>
    <n v="11"/>
    <x v="1"/>
  </r>
  <r>
    <n v="2793"/>
    <n v="1976"/>
    <x v="1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x v="0"/>
    <x v="0"/>
    <x v="0"/>
    <x v="0"/>
    <x v="0"/>
    <n v="0"/>
    <n v="3"/>
    <n v="11"/>
    <x v="1"/>
  </r>
  <r>
    <n v="5424"/>
    <n v="1983"/>
    <x v="0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x v="0"/>
    <x v="0"/>
    <x v="0"/>
    <x v="0"/>
    <x v="0"/>
    <n v="0"/>
    <n v="3"/>
    <n v="11"/>
    <x v="1"/>
  </r>
  <r>
    <n v="879"/>
    <n v="1976"/>
    <x v="2"/>
    <s v="Married"/>
    <n v="49681"/>
    <n v="0"/>
    <n v="2"/>
    <d v="2013-11-04T00:00:00"/>
    <n v="66"/>
    <n v="411"/>
    <n v="0"/>
    <n v="26"/>
    <n v="0"/>
    <n v="0"/>
    <n v="21"/>
    <n v="6"/>
    <n v="7"/>
    <n v="1"/>
    <n v="7"/>
    <n v="7"/>
    <x v="0"/>
    <x v="0"/>
    <x v="0"/>
    <x v="0"/>
    <x v="0"/>
    <n v="0"/>
    <n v="3"/>
    <n v="11"/>
    <x v="1"/>
  </r>
  <r>
    <n v="9530"/>
    <n v="1988"/>
    <x v="0"/>
    <s v="Married"/>
    <n v="24645"/>
    <n v="1"/>
    <n v="0"/>
    <d v="2012-11-01T00:00:00"/>
    <n v="16"/>
    <n v="5"/>
    <n v="3"/>
    <n v="4"/>
    <n v="4"/>
    <n v="1"/>
    <n v="0"/>
    <n v="1"/>
    <n v="1"/>
    <n v="0"/>
    <n v="2"/>
    <n v="8"/>
    <x v="0"/>
    <x v="0"/>
    <x v="0"/>
    <x v="0"/>
    <x v="0"/>
    <n v="0"/>
    <n v="3"/>
    <n v="11"/>
    <x v="1"/>
  </r>
  <r>
    <n v="4828"/>
    <n v="1954"/>
    <x v="0"/>
    <s v="Divorced"/>
    <n v="79865"/>
    <n v="0"/>
    <n v="1"/>
    <d v="2014-06-18T00:00:00"/>
    <n v="12"/>
    <n v="71"/>
    <n v="99"/>
    <n v="278"/>
    <n v="185"/>
    <n v="121"/>
    <n v="38"/>
    <n v="1"/>
    <n v="5"/>
    <n v="10"/>
    <n v="5"/>
    <n v="1"/>
    <x v="0"/>
    <x v="0"/>
    <x v="0"/>
    <x v="0"/>
    <x v="0"/>
    <n v="0"/>
    <n v="3"/>
    <n v="11"/>
    <x v="1"/>
  </r>
  <r>
    <n v="10699"/>
    <n v="1985"/>
    <x v="0"/>
    <s v="Married"/>
    <n v="44322"/>
    <n v="1"/>
    <n v="0"/>
    <d v="2014-06-16T00:00:00"/>
    <n v="30"/>
    <n v="46"/>
    <n v="0"/>
    <n v="40"/>
    <n v="3"/>
    <n v="0"/>
    <n v="3"/>
    <n v="2"/>
    <n v="3"/>
    <n v="0"/>
    <n v="3"/>
    <n v="8"/>
    <x v="0"/>
    <x v="0"/>
    <x v="0"/>
    <x v="0"/>
    <x v="0"/>
    <n v="0"/>
    <n v="3"/>
    <n v="11"/>
    <x v="1"/>
  </r>
  <r>
    <n v="1497"/>
    <n v="1952"/>
    <x v="0"/>
    <s v="Single"/>
    <n v="47958"/>
    <n v="0"/>
    <n v="1"/>
    <d v="2013-01-19T00:00:00"/>
    <n v="8"/>
    <n v="268"/>
    <n v="11"/>
    <n v="88"/>
    <n v="15"/>
    <n v="3"/>
    <n v="22"/>
    <n v="2"/>
    <n v="6"/>
    <n v="3"/>
    <n v="5"/>
    <n v="5"/>
    <x v="0"/>
    <x v="0"/>
    <x v="0"/>
    <x v="0"/>
    <x v="0"/>
    <n v="0"/>
    <n v="3"/>
    <n v="11"/>
    <x v="1"/>
  </r>
  <r>
    <n v="7476"/>
    <n v="1964"/>
    <x v="2"/>
    <s v="Single"/>
    <n v="63972"/>
    <n v="0"/>
    <n v="1"/>
    <d v="2012-12-02T00:00:00"/>
    <n v="93"/>
    <n v="928"/>
    <n v="63"/>
    <n v="254"/>
    <n v="0"/>
    <n v="12"/>
    <n v="12"/>
    <n v="4"/>
    <n v="5"/>
    <n v="4"/>
    <n v="10"/>
    <n v="4"/>
    <x v="0"/>
    <x v="1"/>
    <x v="0"/>
    <x v="0"/>
    <x v="0"/>
    <n v="0"/>
    <n v="3"/>
    <n v="11"/>
    <x v="1"/>
  </r>
  <r>
    <n v="4390"/>
    <n v="1954"/>
    <x v="0"/>
    <s v="Together"/>
    <n v="75315"/>
    <n v="0"/>
    <n v="1"/>
    <d v="2014-04-15T00:00:00"/>
    <n v="14"/>
    <n v="459"/>
    <n v="15"/>
    <n v="171"/>
    <n v="142"/>
    <n v="23"/>
    <n v="31"/>
    <n v="2"/>
    <n v="5"/>
    <n v="4"/>
    <n v="12"/>
    <n v="2"/>
    <x v="0"/>
    <x v="0"/>
    <x v="0"/>
    <x v="0"/>
    <x v="0"/>
    <n v="0"/>
    <n v="3"/>
    <n v="11"/>
    <x v="1"/>
  </r>
  <r>
    <n v="10478"/>
    <n v="1950"/>
    <x v="1"/>
    <s v="Married"/>
    <n v="55517"/>
    <n v="1"/>
    <n v="1"/>
    <d v="2012-09-27T00:00:00"/>
    <n v="53"/>
    <n v="483"/>
    <n v="0"/>
    <n v="108"/>
    <n v="0"/>
    <n v="6"/>
    <n v="36"/>
    <n v="5"/>
    <n v="11"/>
    <n v="1"/>
    <n v="6"/>
    <n v="9"/>
    <x v="0"/>
    <x v="0"/>
    <x v="0"/>
    <x v="0"/>
    <x v="0"/>
    <n v="0"/>
    <n v="3"/>
    <n v="11"/>
    <x v="0"/>
  </r>
  <r>
    <n v="1081"/>
    <n v="1957"/>
    <x v="1"/>
    <s v="Married"/>
    <n v="75283"/>
    <n v="1"/>
    <n v="2"/>
    <d v="2013-03-27T00:00:00"/>
    <n v="26"/>
    <n v="733"/>
    <n v="9"/>
    <n v="180"/>
    <n v="12"/>
    <n v="19"/>
    <n v="66"/>
    <n v="11"/>
    <n v="6"/>
    <n v="3"/>
    <n v="5"/>
    <n v="4"/>
    <x v="0"/>
    <x v="0"/>
    <x v="0"/>
    <x v="0"/>
    <x v="0"/>
    <n v="0"/>
    <n v="3"/>
    <n v="11"/>
    <x v="1"/>
  </r>
  <r>
    <n v="4261"/>
    <n v="1946"/>
    <x v="1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x v="0"/>
    <x v="0"/>
    <x v="1"/>
    <x v="1"/>
    <x v="0"/>
    <n v="0"/>
    <n v="3"/>
    <n v="11"/>
    <x v="0"/>
  </r>
  <r>
    <n v="9916"/>
    <n v="1954"/>
    <x v="0"/>
    <s v="Married"/>
    <n v="38998"/>
    <n v="1"/>
    <n v="1"/>
    <d v="2012-11-03T00:00:00"/>
    <n v="92"/>
    <n v="34"/>
    <n v="1"/>
    <n v="14"/>
    <n v="0"/>
    <n v="0"/>
    <n v="5"/>
    <n v="3"/>
    <n v="2"/>
    <n v="0"/>
    <n v="3"/>
    <n v="8"/>
    <x v="0"/>
    <x v="0"/>
    <x v="0"/>
    <x v="0"/>
    <x v="0"/>
    <n v="1"/>
    <n v="3"/>
    <n v="11"/>
    <x v="1"/>
  </r>
  <r>
    <n v="5350"/>
    <n v="1991"/>
    <x v="2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x v="0"/>
    <x v="0"/>
    <x v="1"/>
    <x v="0"/>
    <x v="0"/>
    <n v="0"/>
    <n v="3"/>
    <n v="11"/>
    <x v="0"/>
  </r>
  <r>
    <n v="8135"/>
    <n v="1986"/>
    <x v="2"/>
    <s v="Married"/>
    <n v="27161"/>
    <n v="1"/>
    <n v="0"/>
    <d v="2013-10-28T00:00:00"/>
    <n v="41"/>
    <n v="7"/>
    <n v="4"/>
    <n v="23"/>
    <n v="7"/>
    <n v="0"/>
    <n v="11"/>
    <n v="1"/>
    <n v="1"/>
    <n v="0"/>
    <n v="3"/>
    <n v="7"/>
    <x v="0"/>
    <x v="0"/>
    <x v="0"/>
    <x v="0"/>
    <x v="0"/>
    <n v="0"/>
    <n v="3"/>
    <n v="11"/>
    <x v="1"/>
  </r>
  <r>
    <n v="8685"/>
    <n v="1977"/>
    <x v="0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x v="0"/>
    <x v="0"/>
    <x v="0"/>
    <x v="0"/>
    <x v="0"/>
    <n v="0"/>
    <n v="3"/>
    <n v="11"/>
    <x v="0"/>
  </r>
  <r>
    <n v="4967"/>
    <n v="1960"/>
    <x v="1"/>
    <s v="Together"/>
    <n v="38201"/>
    <n v="0"/>
    <n v="1"/>
    <d v="2013-03-29T00:00:00"/>
    <n v="19"/>
    <n v="233"/>
    <n v="0"/>
    <n v="23"/>
    <n v="0"/>
    <n v="0"/>
    <n v="12"/>
    <n v="4"/>
    <n v="5"/>
    <n v="1"/>
    <n v="5"/>
    <n v="8"/>
    <x v="0"/>
    <x v="0"/>
    <x v="0"/>
    <x v="0"/>
    <x v="0"/>
    <n v="0"/>
    <n v="3"/>
    <n v="11"/>
    <x v="1"/>
  </r>
  <r>
    <n v="2130"/>
    <n v="1982"/>
    <x v="0"/>
    <s v="Together"/>
    <n v="45203"/>
    <n v="2"/>
    <n v="0"/>
    <d v="2014-03-23T00:00:00"/>
    <n v="4"/>
    <n v="35"/>
    <n v="3"/>
    <n v="67"/>
    <n v="10"/>
    <n v="8"/>
    <n v="24"/>
    <n v="1"/>
    <n v="3"/>
    <n v="1"/>
    <n v="3"/>
    <n v="6"/>
    <x v="0"/>
    <x v="0"/>
    <x v="0"/>
    <x v="0"/>
    <x v="0"/>
    <n v="0"/>
    <n v="3"/>
    <n v="11"/>
    <x v="0"/>
  </r>
  <r>
    <n v="9298"/>
    <n v="1947"/>
    <x v="1"/>
    <s v="Together"/>
    <n v="81574"/>
    <n v="0"/>
    <n v="0"/>
    <d v="2014-04-28T00:00:00"/>
    <n v="89"/>
    <n v="1252"/>
    <n v="0"/>
    <n v="465"/>
    <n v="46"/>
    <n v="35"/>
    <n v="0"/>
    <n v="1"/>
    <n v="4"/>
    <n v="5"/>
    <n v="8"/>
    <n v="1"/>
    <x v="0"/>
    <x v="1"/>
    <x v="1"/>
    <x v="0"/>
    <x v="0"/>
    <n v="0"/>
    <n v="3"/>
    <n v="11"/>
    <x v="1"/>
  </r>
  <r>
    <n v="8175"/>
    <n v="1992"/>
    <x v="0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x v="0"/>
    <x v="0"/>
    <x v="0"/>
    <x v="0"/>
    <x v="0"/>
    <n v="0"/>
    <n v="3"/>
    <n v="11"/>
    <x v="1"/>
  </r>
  <r>
    <n v="6257"/>
    <n v="1976"/>
    <x v="2"/>
    <s v="Single"/>
    <n v="60482"/>
    <n v="0"/>
    <n v="1"/>
    <d v="2013-01-23T00:00:00"/>
    <n v="81"/>
    <n v="255"/>
    <n v="43"/>
    <n v="134"/>
    <n v="37"/>
    <n v="14"/>
    <n v="24"/>
    <n v="1"/>
    <n v="7"/>
    <n v="2"/>
    <n v="7"/>
    <n v="7"/>
    <x v="0"/>
    <x v="0"/>
    <x v="0"/>
    <x v="0"/>
    <x v="0"/>
    <n v="0"/>
    <n v="3"/>
    <n v="11"/>
    <x v="1"/>
  </r>
  <r>
    <n v="3790"/>
    <n v="1956"/>
    <x v="0"/>
    <s v="Together"/>
    <n v="34633"/>
    <n v="2"/>
    <n v="1"/>
    <d v="2014-01-23T00:00:00"/>
    <n v="31"/>
    <n v="8"/>
    <n v="1"/>
    <n v="5"/>
    <n v="0"/>
    <n v="0"/>
    <n v="1"/>
    <n v="1"/>
    <n v="1"/>
    <n v="0"/>
    <n v="2"/>
    <n v="6"/>
    <x v="0"/>
    <x v="0"/>
    <x v="0"/>
    <x v="0"/>
    <x v="0"/>
    <n v="0"/>
    <n v="3"/>
    <n v="11"/>
    <x v="1"/>
  </r>
  <r>
    <n v="9952"/>
    <n v="1947"/>
    <x v="2"/>
    <s v="Together"/>
    <n v="78093"/>
    <n v="0"/>
    <n v="0"/>
    <d v="2013-12-11T00:00:00"/>
    <n v="53"/>
    <n v="368"/>
    <n v="32"/>
    <n v="639"/>
    <n v="13"/>
    <n v="43"/>
    <n v="10"/>
    <n v="1"/>
    <n v="4"/>
    <n v="7"/>
    <n v="5"/>
    <n v="1"/>
    <x v="0"/>
    <x v="0"/>
    <x v="0"/>
    <x v="0"/>
    <x v="0"/>
    <n v="0"/>
    <n v="3"/>
    <n v="11"/>
    <x v="1"/>
  </r>
  <r>
    <n v="3503"/>
    <n v="1950"/>
    <x v="0"/>
    <s v="Divorced"/>
    <n v="82460"/>
    <n v="0"/>
    <n v="0"/>
    <d v="2013-12-02T00:00:00"/>
    <n v="78"/>
    <n v="255"/>
    <n v="47"/>
    <n v="573"/>
    <n v="52"/>
    <n v="32"/>
    <n v="15"/>
    <n v="1"/>
    <n v="5"/>
    <n v="3"/>
    <n v="6"/>
    <n v="1"/>
    <x v="0"/>
    <x v="0"/>
    <x v="0"/>
    <x v="0"/>
    <x v="0"/>
    <n v="0"/>
    <n v="3"/>
    <n v="11"/>
    <x v="1"/>
  </r>
  <r>
    <n v="5223"/>
    <n v="1966"/>
    <x v="2"/>
    <s v="Together"/>
    <n v="45903"/>
    <n v="0"/>
    <n v="1"/>
    <d v="2014-04-23T00:00:00"/>
    <n v="80"/>
    <n v="33"/>
    <n v="8"/>
    <n v="10"/>
    <n v="2"/>
    <n v="10"/>
    <n v="3"/>
    <n v="2"/>
    <n v="2"/>
    <n v="1"/>
    <n v="3"/>
    <n v="4"/>
    <x v="0"/>
    <x v="0"/>
    <x v="0"/>
    <x v="0"/>
    <x v="0"/>
    <n v="0"/>
    <n v="3"/>
    <n v="11"/>
    <x v="1"/>
  </r>
  <r>
    <n v="4608"/>
    <n v="1987"/>
    <x v="0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x v="0"/>
    <x v="0"/>
    <x v="0"/>
    <x v="0"/>
    <x v="0"/>
    <n v="0"/>
    <n v="3"/>
    <n v="11"/>
    <x v="0"/>
  </r>
  <r>
    <n v="1626"/>
    <n v="1973"/>
    <x v="1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x v="1"/>
    <x v="0"/>
    <x v="0"/>
    <x v="0"/>
    <x v="0"/>
    <n v="0"/>
    <n v="3"/>
    <n v="11"/>
    <x v="0"/>
  </r>
  <r>
    <n v="4764"/>
    <n v="1952"/>
    <x v="2"/>
    <s v="Together"/>
    <n v="40442"/>
    <n v="1"/>
    <n v="1"/>
    <d v="2012-08-19T00:00:00"/>
    <n v="52"/>
    <n v="45"/>
    <n v="12"/>
    <n v="52"/>
    <n v="25"/>
    <n v="22"/>
    <n v="13"/>
    <n v="4"/>
    <n v="3"/>
    <n v="1"/>
    <n v="4"/>
    <n v="7"/>
    <x v="0"/>
    <x v="0"/>
    <x v="0"/>
    <x v="0"/>
    <x v="0"/>
    <n v="0"/>
    <n v="3"/>
    <n v="11"/>
    <x v="0"/>
  </r>
  <r>
    <n v="2471"/>
    <n v="1965"/>
    <x v="0"/>
    <s v="Married"/>
    <n v="61482"/>
    <n v="0"/>
    <n v="0"/>
    <d v="2014-06-27T00:00:00"/>
    <n v="39"/>
    <n v="48"/>
    <n v="58"/>
    <n v="68"/>
    <n v="16"/>
    <n v="66"/>
    <n v="43"/>
    <n v="1"/>
    <n v="3"/>
    <n v="2"/>
    <n v="6"/>
    <n v="2"/>
    <x v="0"/>
    <x v="0"/>
    <x v="0"/>
    <x v="0"/>
    <x v="0"/>
    <n v="0"/>
    <n v="3"/>
    <n v="11"/>
    <x v="1"/>
  </r>
  <r>
    <n v="5892"/>
    <n v="1980"/>
    <x v="0"/>
    <s v="Married"/>
    <n v="34968"/>
    <n v="1"/>
    <n v="0"/>
    <d v="2013-04-10T00:00:00"/>
    <n v="11"/>
    <n v="158"/>
    <n v="6"/>
    <n v="45"/>
    <n v="8"/>
    <n v="2"/>
    <n v="2"/>
    <n v="7"/>
    <n v="3"/>
    <n v="2"/>
    <n v="5"/>
    <n v="7"/>
    <x v="0"/>
    <x v="0"/>
    <x v="0"/>
    <x v="0"/>
    <x v="0"/>
    <n v="0"/>
    <n v="3"/>
    <n v="11"/>
    <x v="1"/>
  </r>
  <r>
    <n v="2612"/>
    <n v="1987"/>
    <x v="0"/>
    <s v="Married"/>
    <n v="75794"/>
    <n v="0"/>
    <n v="0"/>
    <d v="2013-12-24T00:00:00"/>
    <n v="33"/>
    <n v="754"/>
    <n v="160"/>
    <n v="625"/>
    <n v="63"/>
    <n v="32"/>
    <n v="48"/>
    <n v="1"/>
    <n v="7"/>
    <n v="5"/>
    <n v="12"/>
    <n v="3"/>
    <x v="0"/>
    <x v="0"/>
    <x v="0"/>
    <x v="1"/>
    <x v="0"/>
    <n v="0"/>
    <n v="3"/>
    <n v="11"/>
    <x v="1"/>
  </r>
  <r>
    <n v="4971"/>
    <n v="1962"/>
    <x v="1"/>
    <s v="Together"/>
    <n v="31497"/>
    <n v="0"/>
    <n v="1"/>
    <d v="2012-12-06T00:00:00"/>
    <n v="22"/>
    <n v="108"/>
    <n v="1"/>
    <n v="28"/>
    <n v="13"/>
    <n v="1"/>
    <n v="4"/>
    <n v="2"/>
    <n v="3"/>
    <n v="1"/>
    <n v="4"/>
    <n v="8"/>
    <x v="0"/>
    <x v="0"/>
    <x v="0"/>
    <x v="0"/>
    <x v="0"/>
    <n v="0"/>
    <n v="3"/>
    <n v="11"/>
    <x v="1"/>
  </r>
  <r>
    <n v="5185"/>
    <n v="1955"/>
    <x v="0"/>
    <s v="Married"/>
    <n v="74268"/>
    <n v="0"/>
    <n v="0"/>
    <d v="2013-02-14T00:00:00"/>
    <n v="83"/>
    <n v="199"/>
    <n v="66"/>
    <n v="315"/>
    <n v="97"/>
    <n v="174"/>
    <n v="41"/>
    <n v="1"/>
    <n v="4"/>
    <n v="3"/>
    <n v="5"/>
    <n v="2"/>
    <x v="0"/>
    <x v="0"/>
    <x v="0"/>
    <x v="0"/>
    <x v="0"/>
    <n v="0"/>
    <n v="3"/>
    <n v="11"/>
    <x v="1"/>
  </r>
  <r>
    <n v="10069"/>
    <n v="1988"/>
    <x v="3"/>
    <s v="Together"/>
    <n v="13724"/>
    <n v="1"/>
    <n v="0"/>
    <d v="2012-08-31T00:00:00"/>
    <n v="43"/>
    <n v="2"/>
    <n v="7"/>
    <n v="5"/>
    <n v="2"/>
    <n v="15"/>
    <n v="27"/>
    <n v="1"/>
    <n v="2"/>
    <n v="0"/>
    <n v="2"/>
    <n v="9"/>
    <x v="1"/>
    <x v="0"/>
    <x v="0"/>
    <x v="0"/>
    <x v="0"/>
    <n v="0"/>
    <n v="3"/>
    <n v="11"/>
    <x v="1"/>
  </r>
  <r>
    <n v="2262"/>
    <n v="1965"/>
    <x v="2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x v="0"/>
    <x v="0"/>
    <x v="0"/>
    <x v="0"/>
    <x v="0"/>
    <n v="0"/>
    <n v="3"/>
    <n v="11"/>
    <x v="1"/>
  </r>
  <r>
    <n v="1131"/>
    <n v="1967"/>
    <x v="1"/>
    <s v="Single"/>
    <n v="52569"/>
    <n v="0"/>
    <n v="1"/>
    <d v="2014-04-05T00:00:00"/>
    <n v="54"/>
    <n v="85"/>
    <n v="0"/>
    <n v="3"/>
    <n v="0"/>
    <n v="0"/>
    <n v="7"/>
    <n v="1"/>
    <n v="2"/>
    <n v="0"/>
    <n v="4"/>
    <n v="3"/>
    <x v="0"/>
    <x v="0"/>
    <x v="0"/>
    <x v="0"/>
    <x v="0"/>
    <n v="0"/>
    <n v="3"/>
    <n v="11"/>
    <x v="1"/>
  </r>
  <r>
    <n v="1041"/>
    <n v="1973"/>
    <x v="1"/>
    <s v="Single"/>
    <n v="48432"/>
    <n v="0"/>
    <n v="1"/>
    <d v="2012-10-18T00:00:00"/>
    <n v="3"/>
    <n v="322"/>
    <n v="3"/>
    <n v="50"/>
    <n v="4"/>
    <n v="3"/>
    <n v="42"/>
    <n v="5"/>
    <n v="7"/>
    <n v="1"/>
    <n v="6"/>
    <n v="8"/>
    <x v="0"/>
    <x v="0"/>
    <x v="0"/>
    <x v="0"/>
    <x v="0"/>
    <n v="0"/>
    <n v="3"/>
    <n v="11"/>
    <x v="0"/>
  </r>
  <r>
    <n v="24"/>
    <n v="1960"/>
    <x v="2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x v="0"/>
    <x v="0"/>
    <x v="0"/>
    <x v="0"/>
    <x v="0"/>
    <n v="0"/>
    <n v="3"/>
    <n v="11"/>
    <x v="1"/>
  </r>
  <r>
    <n v="3409"/>
    <n v="1984"/>
    <x v="0"/>
    <s v="Single"/>
    <n v="36108"/>
    <n v="1"/>
    <n v="0"/>
    <d v="2013-10-15T00:00:00"/>
    <n v="68"/>
    <n v="141"/>
    <n v="8"/>
    <n v="129"/>
    <n v="3"/>
    <n v="11"/>
    <n v="47"/>
    <n v="3"/>
    <n v="7"/>
    <n v="1"/>
    <n v="4"/>
    <n v="9"/>
    <x v="1"/>
    <x v="0"/>
    <x v="0"/>
    <x v="0"/>
    <x v="0"/>
    <n v="0"/>
    <n v="3"/>
    <n v="11"/>
    <x v="1"/>
  </r>
  <r>
    <n v="7022"/>
    <n v="1971"/>
    <x v="0"/>
    <s v="Married"/>
    <n v="76445"/>
    <n v="1"/>
    <n v="0"/>
    <d v="2012-09-28T00:00:00"/>
    <n v="2"/>
    <n v="739"/>
    <n v="107"/>
    <n v="309"/>
    <n v="140"/>
    <n v="80"/>
    <n v="35"/>
    <n v="1"/>
    <n v="2"/>
    <n v="5"/>
    <n v="13"/>
    <n v="6"/>
    <x v="0"/>
    <x v="0"/>
    <x v="0"/>
    <x v="0"/>
    <x v="0"/>
    <n v="0"/>
    <n v="3"/>
    <n v="11"/>
    <x v="1"/>
  </r>
  <r>
    <n v="7943"/>
    <n v="1975"/>
    <x v="1"/>
    <s v="Married"/>
    <n v="36663"/>
    <n v="1"/>
    <n v="0"/>
    <d v="2014-04-25T00:00:00"/>
    <n v="40"/>
    <n v="18"/>
    <n v="0"/>
    <n v="6"/>
    <n v="3"/>
    <n v="3"/>
    <n v="5"/>
    <n v="1"/>
    <n v="1"/>
    <n v="1"/>
    <n v="3"/>
    <n v="2"/>
    <x v="0"/>
    <x v="0"/>
    <x v="0"/>
    <x v="0"/>
    <x v="0"/>
    <n v="0"/>
    <n v="3"/>
    <n v="11"/>
    <x v="1"/>
  </r>
  <r>
    <n v="5272"/>
    <n v="1965"/>
    <x v="2"/>
    <s v="Married"/>
    <n v="53843"/>
    <n v="0"/>
    <n v="1"/>
    <d v="2013-06-27T00:00:00"/>
    <n v="64"/>
    <n v="378"/>
    <n v="0"/>
    <n v="88"/>
    <n v="19"/>
    <n v="4"/>
    <n v="73"/>
    <n v="4"/>
    <n v="8"/>
    <n v="5"/>
    <n v="3"/>
    <n v="7"/>
    <x v="0"/>
    <x v="0"/>
    <x v="0"/>
    <x v="0"/>
    <x v="0"/>
    <n v="0"/>
    <n v="3"/>
    <n v="11"/>
    <x v="1"/>
  </r>
  <r>
    <n v="5453"/>
    <n v="1956"/>
    <x v="2"/>
    <s v="Married"/>
    <n v="90226"/>
    <n v="0"/>
    <n v="0"/>
    <d v="2012-09-26T00:00:00"/>
    <n v="26"/>
    <n v="1083"/>
    <n v="108"/>
    <n v="649"/>
    <n v="253"/>
    <n v="151"/>
    <n v="108"/>
    <n v="1"/>
    <n v="4"/>
    <n v="7"/>
    <n v="12"/>
    <n v="2"/>
    <x v="0"/>
    <x v="0"/>
    <x v="0"/>
    <x v="1"/>
    <x v="0"/>
    <n v="0"/>
    <n v="3"/>
    <n v="11"/>
    <x v="1"/>
  </r>
  <r>
    <n v="2565"/>
    <n v="1955"/>
    <x v="2"/>
    <s v="Divorced"/>
    <n v="70638"/>
    <n v="0"/>
    <n v="0"/>
    <d v="2013-06-01T00:00:00"/>
    <n v="69"/>
    <n v="1016"/>
    <n v="12"/>
    <n v="215"/>
    <n v="16"/>
    <n v="12"/>
    <n v="63"/>
    <n v="1"/>
    <n v="4"/>
    <n v="5"/>
    <n v="10"/>
    <n v="3"/>
    <x v="0"/>
    <x v="1"/>
    <x v="0"/>
    <x v="0"/>
    <x v="0"/>
    <n v="0"/>
    <n v="3"/>
    <n v="11"/>
    <x v="1"/>
  </r>
  <r>
    <n v="800"/>
    <n v="1960"/>
    <x v="0"/>
    <s v="Together"/>
    <n v="44512"/>
    <n v="1"/>
    <n v="1"/>
    <d v="2013-08-30T00:00:00"/>
    <n v="57"/>
    <n v="23"/>
    <n v="1"/>
    <n v="6"/>
    <n v="0"/>
    <n v="0"/>
    <n v="2"/>
    <n v="2"/>
    <n v="1"/>
    <n v="0"/>
    <n v="3"/>
    <n v="4"/>
    <x v="0"/>
    <x v="0"/>
    <x v="0"/>
    <x v="0"/>
    <x v="0"/>
    <n v="0"/>
    <n v="3"/>
    <n v="11"/>
    <x v="1"/>
  </r>
  <r>
    <n v="11092"/>
    <n v="1961"/>
    <x v="0"/>
    <s v="Married"/>
    <n v="27116"/>
    <n v="1"/>
    <n v="1"/>
    <d v="2014-03-02T00:00:00"/>
    <n v="78"/>
    <n v="12"/>
    <n v="1"/>
    <n v="21"/>
    <n v="2"/>
    <n v="2"/>
    <n v="3"/>
    <n v="2"/>
    <n v="2"/>
    <n v="0"/>
    <n v="3"/>
    <n v="7"/>
    <x v="0"/>
    <x v="0"/>
    <x v="0"/>
    <x v="0"/>
    <x v="0"/>
    <n v="0"/>
    <n v="3"/>
    <n v="11"/>
    <x v="1"/>
  </r>
  <r>
    <n v="5062"/>
    <n v="1963"/>
    <x v="1"/>
    <s v="Married"/>
    <n v="54072"/>
    <n v="1"/>
    <n v="1"/>
    <d v="2013-07-27T00:00:00"/>
    <n v="71"/>
    <n v="35"/>
    <n v="0"/>
    <n v="4"/>
    <n v="0"/>
    <n v="0"/>
    <n v="0"/>
    <n v="1"/>
    <n v="2"/>
    <n v="0"/>
    <n v="2"/>
    <n v="8"/>
    <x v="0"/>
    <x v="0"/>
    <x v="0"/>
    <x v="0"/>
    <x v="0"/>
    <n v="0"/>
    <n v="3"/>
    <n v="11"/>
    <x v="1"/>
  </r>
  <r>
    <n v="8969"/>
    <n v="1977"/>
    <x v="0"/>
    <s v="Married"/>
    <n v="71855"/>
    <n v="0"/>
    <n v="1"/>
    <d v="2013-01-16T00:00:00"/>
    <n v="59"/>
    <n v="548"/>
    <n v="31"/>
    <n v="422"/>
    <n v="0"/>
    <n v="112"/>
    <n v="28"/>
    <n v="4"/>
    <n v="5"/>
    <n v="5"/>
    <n v="11"/>
    <n v="3"/>
    <x v="0"/>
    <x v="0"/>
    <x v="0"/>
    <x v="0"/>
    <x v="0"/>
    <n v="0"/>
    <n v="3"/>
    <n v="11"/>
    <x v="1"/>
  </r>
  <r>
    <n v="4656"/>
    <n v="1990"/>
    <x v="4"/>
    <s v="Single"/>
    <n v="51250"/>
    <n v="1"/>
    <n v="0"/>
    <d v="2013-03-30T00:00:00"/>
    <n v="28"/>
    <n v="342"/>
    <n v="32"/>
    <n v="230"/>
    <n v="34"/>
    <n v="32"/>
    <n v="40"/>
    <n v="5"/>
    <n v="10"/>
    <n v="5"/>
    <n v="4"/>
    <n v="9"/>
    <x v="1"/>
    <x v="0"/>
    <x v="0"/>
    <x v="0"/>
    <x v="0"/>
    <n v="0"/>
    <n v="3"/>
    <n v="11"/>
    <x v="1"/>
  </r>
  <r>
    <n v="4480"/>
    <n v="1973"/>
    <x v="2"/>
    <s v="Married"/>
    <n v="60432"/>
    <n v="0"/>
    <n v="1"/>
    <d v="2014-03-09T00:00:00"/>
    <n v="61"/>
    <n v="365"/>
    <n v="3"/>
    <n v="15"/>
    <n v="4"/>
    <n v="3"/>
    <n v="11"/>
    <n v="5"/>
    <n v="7"/>
    <n v="2"/>
    <n v="5"/>
    <n v="6"/>
    <x v="0"/>
    <x v="0"/>
    <x v="0"/>
    <x v="0"/>
    <x v="0"/>
    <n v="0"/>
    <n v="3"/>
    <n v="11"/>
    <x v="1"/>
  </r>
  <r>
    <n v="9971"/>
    <n v="1964"/>
    <x v="1"/>
    <s v="Married"/>
    <n v="65526"/>
    <n v="0"/>
    <n v="1"/>
    <d v="2014-04-11T00:00:00"/>
    <n v="22"/>
    <n v="397"/>
    <n v="19"/>
    <n v="69"/>
    <n v="12"/>
    <n v="0"/>
    <n v="9"/>
    <n v="1"/>
    <n v="4"/>
    <n v="4"/>
    <n v="8"/>
    <n v="2"/>
    <x v="0"/>
    <x v="0"/>
    <x v="0"/>
    <x v="0"/>
    <x v="0"/>
    <n v="0"/>
    <n v="3"/>
    <n v="11"/>
    <x v="1"/>
  </r>
  <r>
    <n v="6729"/>
    <n v="1988"/>
    <x v="0"/>
    <s v="Single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x v="0"/>
    <x v="0"/>
    <x v="0"/>
    <x v="0"/>
    <x v="0"/>
    <n v="0"/>
    <n v="3"/>
    <n v="11"/>
    <x v="1"/>
  </r>
  <r>
    <n v="1773"/>
    <n v="1978"/>
    <x v="4"/>
    <s v="Married"/>
    <n v="12393"/>
    <n v="0"/>
    <n v="0"/>
    <d v="2012-12-04T00:00:00"/>
    <n v="38"/>
    <n v="5"/>
    <n v="6"/>
    <n v="15"/>
    <n v="11"/>
    <n v="7"/>
    <n v="13"/>
    <n v="1"/>
    <n v="2"/>
    <n v="0"/>
    <n v="3"/>
    <n v="9"/>
    <x v="0"/>
    <x v="0"/>
    <x v="0"/>
    <x v="0"/>
    <x v="0"/>
    <n v="0"/>
    <n v="3"/>
    <n v="11"/>
    <x v="1"/>
  </r>
  <r>
    <n v="9242"/>
    <n v="1990"/>
    <x v="0"/>
    <s v="Single"/>
    <n v="64509"/>
    <n v="0"/>
    <n v="0"/>
    <d v="2013-08-17T00:00:00"/>
    <n v="19"/>
    <n v="836"/>
    <n v="185"/>
    <n v="575"/>
    <n v="24"/>
    <n v="25"/>
    <n v="77"/>
    <n v="1"/>
    <n v="6"/>
    <n v="3"/>
    <n v="9"/>
    <n v="4"/>
    <x v="1"/>
    <x v="0"/>
    <x v="0"/>
    <x v="0"/>
    <x v="0"/>
    <n v="0"/>
    <n v="3"/>
    <n v="11"/>
    <x v="0"/>
  </r>
  <r>
    <n v="1764"/>
    <n v="1975"/>
    <x v="0"/>
    <s v="Single"/>
    <n v="33955"/>
    <n v="1"/>
    <n v="0"/>
    <d v="2013-08-09T00:00:00"/>
    <n v="92"/>
    <n v="100"/>
    <n v="2"/>
    <n v="128"/>
    <n v="23"/>
    <n v="7"/>
    <n v="10"/>
    <n v="4"/>
    <n v="5"/>
    <n v="1"/>
    <n v="5"/>
    <n v="8"/>
    <x v="0"/>
    <x v="0"/>
    <x v="0"/>
    <x v="0"/>
    <x v="0"/>
    <n v="0"/>
    <n v="3"/>
    <n v="11"/>
    <x v="1"/>
  </r>
  <r>
    <n v="6215"/>
    <n v="1977"/>
    <x v="0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x v="0"/>
    <x v="0"/>
    <x v="0"/>
    <x v="0"/>
    <x v="0"/>
    <n v="0"/>
    <n v="3"/>
    <n v="11"/>
    <x v="0"/>
  </r>
  <r>
    <n v="10099"/>
    <n v="1984"/>
    <x v="0"/>
    <s v="Married"/>
    <n v="55434"/>
    <n v="1"/>
    <n v="0"/>
    <d v="2013-10-05T00:00:00"/>
    <n v="21"/>
    <n v="238"/>
    <n v="115"/>
    <n v="215"/>
    <n v="169"/>
    <n v="69"/>
    <n v="76"/>
    <n v="3"/>
    <n v="5"/>
    <n v="3"/>
    <n v="13"/>
    <n v="4"/>
    <x v="0"/>
    <x v="0"/>
    <x v="0"/>
    <x v="0"/>
    <x v="0"/>
    <n v="0"/>
    <n v="3"/>
    <n v="11"/>
    <x v="1"/>
  </r>
  <r>
    <n v="5423"/>
    <n v="1983"/>
    <x v="0"/>
    <s v="Together"/>
    <n v="28359"/>
    <n v="1"/>
    <n v="0"/>
    <d v="2013-10-27T00:00:00"/>
    <n v="35"/>
    <n v="6"/>
    <n v="0"/>
    <n v="5"/>
    <n v="2"/>
    <n v="1"/>
    <n v="2"/>
    <n v="1"/>
    <n v="1"/>
    <n v="0"/>
    <n v="2"/>
    <n v="7"/>
    <x v="0"/>
    <x v="0"/>
    <x v="0"/>
    <x v="0"/>
    <x v="0"/>
    <n v="0"/>
    <n v="3"/>
    <n v="11"/>
    <x v="1"/>
  </r>
  <r>
    <n v="940"/>
    <n v="1987"/>
    <x v="0"/>
    <s v="Single"/>
    <n v="57100"/>
    <n v="1"/>
    <n v="0"/>
    <d v="2014-05-18T00:00:00"/>
    <n v="9"/>
    <n v="158"/>
    <n v="11"/>
    <n v="99"/>
    <n v="15"/>
    <n v="11"/>
    <n v="17"/>
    <n v="2"/>
    <n v="3"/>
    <n v="2"/>
    <n v="7"/>
    <n v="3"/>
    <x v="0"/>
    <x v="0"/>
    <x v="0"/>
    <x v="0"/>
    <x v="0"/>
    <n v="0"/>
    <n v="3"/>
    <n v="11"/>
    <x v="1"/>
  </r>
  <r>
    <n v="3011"/>
    <n v="1965"/>
    <x v="0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x v="0"/>
    <x v="0"/>
    <x v="0"/>
    <x v="0"/>
    <x v="0"/>
    <n v="0"/>
    <n v="3"/>
    <n v="11"/>
    <x v="1"/>
  </r>
  <r>
    <n v="3298"/>
    <n v="1956"/>
    <x v="2"/>
    <s v="Married"/>
    <n v="52973"/>
    <n v="0"/>
    <n v="1"/>
    <d v="2012-11-08T00:00:00"/>
    <n v="92"/>
    <n v="856"/>
    <n v="0"/>
    <n v="76"/>
    <n v="12"/>
    <n v="9"/>
    <n v="199"/>
    <n v="7"/>
    <n v="9"/>
    <n v="6"/>
    <n v="9"/>
    <n v="8"/>
    <x v="0"/>
    <x v="0"/>
    <x v="0"/>
    <x v="0"/>
    <x v="0"/>
    <n v="0"/>
    <n v="3"/>
    <n v="11"/>
    <x v="1"/>
  </r>
  <r>
    <n v="8286"/>
    <n v="1965"/>
    <x v="1"/>
    <s v="Together"/>
    <n v="51717"/>
    <n v="0"/>
    <n v="1"/>
    <d v="2013-08-20T00:00:00"/>
    <n v="55"/>
    <n v="98"/>
    <n v="1"/>
    <n v="17"/>
    <n v="0"/>
    <n v="1"/>
    <n v="5"/>
    <n v="1"/>
    <n v="3"/>
    <n v="0"/>
    <n v="4"/>
    <n v="7"/>
    <x v="0"/>
    <x v="1"/>
    <x v="0"/>
    <x v="0"/>
    <x v="0"/>
    <n v="0"/>
    <n v="3"/>
    <n v="11"/>
    <x v="1"/>
  </r>
  <r>
    <n v="9668"/>
    <n v="1971"/>
    <x v="0"/>
    <s v="Married"/>
    <n v="18793"/>
    <n v="1"/>
    <n v="0"/>
    <d v="2013-01-12T00:00:00"/>
    <n v="14"/>
    <n v="4"/>
    <n v="16"/>
    <n v="20"/>
    <n v="0"/>
    <n v="17"/>
    <n v="20"/>
    <n v="3"/>
    <n v="2"/>
    <n v="0"/>
    <n v="4"/>
    <n v="8"/>
    <x v="0"/>
    <x v="0"/>
    <x v="0"/>
    <x v="0"/>
    <x v="0"/>
    <n v="0"/>
    <n v="3"/>
    <n v="11"/>
    <x v="1"/>
  </r>
  <r>
    <n v="5120"/>
    <n v="1982"/>
    <x v="4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x v="0"/>
    <x v="0"/>
    <x v="0"/>
    <x v="0"/>
    <x v="0"/>
    <n v="0"/>
    <n v="3"/>
    <n v="11"/>
    <x v="1"/>
  </r>
  <r>
    <n v="6097"/>
    <n v="1959"/>
    <x v="0"/>
    <s v="Single"/>
    <n v="50664"/>
    <n v="1"/>
    <n v="1"/>
    <d v="2013-01-16T00:00:00"/>
    <n v="64"/>
    <n v="313"/>
    <n v="8"/>
    <n v="104"/>
    <n v="6"/>
    <n v="4"/>
    <n v="126"/>
    <n v="9"/>
    <n v="8"/>
    <n v="1"/>
    <n v="6"/>
    <n v="9"/>
    <x v="0"/>
    <x v="0"/>
    <x v="0"/>
    <x v="0"/>
    <x v="0"/>
    <n v="0"/>
    <n v="3"/>
    <n v="11"/>
    <x v="1"/>
  </r>
  <r>
    <n v="7019"/>
    <n v="1963"/>
    <x v="0"/>
    <s v="Together"/>
    <n v="54414"/>
    <n v="1"/>
    <n v="1"/>
    <d v="2013-01-23T00:00:00"/>
    <n v="49"/>
    <n v="109"/>
    <n v="18"/>
    <n v="16"/>
    <n v="24"/>
    <n v="26"/>
    <n v="18"/>
    <n v="4"/>
    <n v="3"/>
    <n v="1"/>
    <n v="5"/>
    <n v="4"/>
    <x v="0"/>
    <x v="0"/>
    <x v="0"/>
    <x v="0"/>
    <x v="0"/>
    <n v="0"/>
    <n v="3"/>
    <n v="11"/>
    <x v="1"/>
  </r>
  <r>
    <n v="7408"/>
    <n v="1952"/>
    <x v="1"/>
    <s v="Married"/>
    <n v="54549"/>
    <n v="0"/>
    <n v="1"/>
    <d v="2014-03-03T00:00:00"/>
    <n v="8"/>
    <n v="216"/>
    <n v="2"/>
    <n v="6"/>
    <n v="0"/>
    <n v="0"/>
    <n v="9"/>
    <n v="2"/>
    <n v="5"/>
    <n v="1"/>
    <n v="4"/>
    <n v="7"/>
    <x v="0"/>
    <x v="0"/>
    <x v="0"/>
    <x v="0"/>
    <x v="0"/>
    <n v="0"/>
    <n v="3"/>
    <n v="11"/>
    <x v="1"/>
  </r>
  <r>
    <n v="8041"/>
    <n v="1971"/>
    <x v="1"/>
    <s v="Widow"/>
    <n v="47111"/>
    <n v="0"/>
    <n v="1"/>
    <d v="2012-09-08T00:00:00"/>
    <n v="35"/>
    <n v="595"/>
    <n v="71"/>
    <n v="153"/>
    <n v="120"/>
    <n v="112"/>
    <n v="41"/>
    <n v="6"/>
    <n v="3"/>
    <n v="2"/>
    <n v="10"/>
    <n v="9"/>
    <x v="0"/>
    <x v="0"/>
    <x v="0"/>
    <x v="0"/>
    <x v="0"/>
    <n v="0"/>
    <n v="3"/>
    <n v="11"/>
    <x v="1"/>
  </r>
  <r>
    <n v="252"/>
    <n v="1963"/>
    <x v="1"/>
    <s v="Divorced"/>
    <n v="41003"/>
    <n v="0"/>
    <n v="0"/>
    <d v="2013-03-17T00:00:00"/>
    <n v="11"/>
    <n v="123"/>
    <n v="133"/>
    <n v="142"/>
    <n v="71"/>
    <n v="44"/>
    <n v="88"/>
    <n v="1"/>
    <n v="6"/>
    <n v="2"/>
    <n v="8"/>
    <n v="6"/>
    <x v="0"/>
    <x v="0"/>
    <x v="0"/>
    <x v="0"/>
    <x v="0"/>
    <n v="0"/>
    <n v="3"/>
    <n v="11"/>
    <x v="1"/>
  </r>
  <r>
    <n v="9986"/>
    <n v="1982"/>
    <x v="0"/>
    <s v="Together"/>
    <n v="19444"/>
    <n v="1"/>
    <n v="0"/>
    <d v="2014-02-22T00:00:00"/>
    <n v="8"/>
    <n v="16"/>
    <n v="0"/>
    <n v="23"/>
    <n v="3"/>
    <n v="2"/>
    <n v="10"/>
    <n v="3"/>
    <n v="4"/>
    <n v="1"/>
    <n v="2"/>
    <n v="7"/>
    <x v="0"/>
    <x v="0"/>
    <x v="0"/>
    <x v="0"/>
    <x v="0"/>
    <n v="0"/>
    <n v="3"/>
    <n v="11"/>
    <x v="0"/>
  </r>
  <r>
    <n v="3276"/>
    <n v="1976"/>
    <x v="4"/>
    <s v="Together"/>
    <n v="36301"/>
    <n v="1"/>
    <n v="0"/>
    <d v="2013-10-25T00:00:00"/>
    <n v="53"/>
    <n v="11"/>
    <n v="12"/>
    <n v="35"/>
    <n v="3"/>
    <n v="5"/>
    <n v="12"/>
    <n v="1"/>
    <n v="3"/>
    <n v="0"/>
    <n v="3"/>
    <n v="7"/>
    <x v="0"/>
    <x v="0"/>
    <x v="0"/>
    <x v="0"/>
    <x v="0"/>
    <n v="0"/>
    <n v="3"/>
    <n v="11"/>
    <x v="1"/>
  </r>
  <r>
    <n v="3859"/>
    <n v="1947"/>
    <x v="1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x v="0"/>
    <x v="0"/>
    <x v="0"/>
    <x v="0"/>
    <x v="0"/>
    <n v="0"/>
    <n v="3"/>
    <n v="11"/>
    <x v="1"/>
  </r>
  <r>
    <n v="3570"/>
    <n v="1969"/>
    <x v="1"/>
    <s v="Together"/>
    <n v="42731"/>
    <n v="1"/>
    <n v="0"/>
    <d v="2013-10-21T00:00:00"/>
    <n v="64"/>
    <n v="159"/>
    <n v="2"/>
    <n v="51"/>
    <n v="6"/>
    <n v="2"/>
    <n v="24"/>
    <n v="3"/>
    <n v="4"/>
    <n v="1"/>
    <n v="5"/>
    <n v="5"/>
    <x v="0"/>
    <x v="0"/>
    <x v="0"/>
    <x v="0"/>
    <x v="0"/>
    <n v="0"/>
    <n v="3"/>
    <n v="11"/>
    <x v="1"/>
  </r>
  <r>
    <n v="3783"/>
    <n v="1959"/>
    <x v="1"/>
    <s v="Married"/>
    <n v="52854"/>
    <n v="1"/>
    <n v="1"/>
    <d v="2014-03-24T00:00:00"/>
    <n v="43"/>
    <n v="105"/>
    <n v="0"/>
    <n v="10"/>
    <n v="0"/>
    <n v="1"/>
    <n v="0"/>
    <n v="2"/>
    <n v="2"/>
    <n v="1"/>
    <n v="4"/>
    <n v="5"/>
    <x v="0"/>
    <x v="0"/>
    <x v="0"/>
    <x v="0"/>
    <x v="0"/>
    <n v="0"/>
    <n v="3"/>
    <n v="11"/>
    <x v="1"/>
  </r>
  <r>
    <n v="10207"/>
    <n v="1978"/>
    <x v="0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x v="0"/>
    <x v="0"/>
    <x v="0"/>
    <x v="0"/>
    <x v="0"/>
    <n v="0"/>
    <n v="3"/>
    <n v="11"/>
    <x v="1"/>
  </r>
  <r>
    <n v="10906"/>
    <n v="1948"/>
    <x v="1"/>
    <s v="Together"/>
    <n v="46681"/>
    <n v="0"/>
    <n v="2"/>
    <d v="2013-10-08T00:00:00"/>
    <n v="52"/>
    <n v="269"/>
    <n v="15"/>
    <n v="69"/>
    <n v="15"/>
    <n v="19"/>
    <n v="38"/>
    <n v="2"/>
    <n v="4"/>
    <n v="6"/>
    <n v="4"/>
    <n v="5"/>
    <x v="0"/>
    <x v="0"/>
    <x v="0"/>
    <x v="0"/>
    <x v="0"/>
    <n v="0"/>
    <n v="3"/>
    <n v="11"/>
    <x v="1"/>
  </r>
  <r>
    <n v="3427"/>
    <n v="1955"/>
    <x v="1"/>
    <s v="Married"/>
    <n v="59821"/>
    <n v="0"/>
    <n v="1"/>
    <d v="2013-04-12T00:00:00"/>
    <n v="11"/>
    <n v="629"/>
    <n v="0"/>
    <n v="70"/>
    <n v="0"/>
    <n v="0"/>
    <n v="35"/>
    <n v="6"/>
    <n v="11"/>
    <n v="2"/>
    <n v="7"/>
    <n v="8"/>
    <x v="0"/>
    <x v="0"/>
    <x v="0"/>
    <x v="0"/>
    <x v="0"/>
    <n v="0"/>
    <n v="3"/>
    <n v="11"/>
    <x v="1"/>
  </r>
  <r>
    <n v="5209"/>
    <n v="1954"/>
    <x v="0"/>
    <s v="Divorced"/>
    <n v="50002"/>
    <n v="0"/>
    <n v="1"/>
    <d v="2013-06-17T00:00:00"/>
    <n v="21"/>
    <n v="443"/>
    <n v="5"/>
    <n v="71"/>
    <n v="21"/>
    <n v="16"/>
    <n v="82"/>
    <n v="2"/>
    <n v="8"/>
    <n v="2"/>
    <n v="7"/>
    <n v="7"/>
    <x v="0"/>
    <x v="0"/>
    <x v="0"/>
    <x v="0"/>
    <x v="0"/>
    <n v="0"/>
    <n v="3"/>
    <n v="11"/>
    <x v="1"/>
  </r>
  <r>
    <n v="10711"/>
    <n v="1945"/>
    <x v="0"/>
    <s v="Married"/>
    <n v="69755"/>
    <n v="0"/>
    <n v="0"/>
    <d v="2013-10-02T00:00:00"/>
    <n v="23"/>
    <n v="217"/>
    <n v="77"/>
    <n v="373"/>
    <n v="111"/>
    <n v="23"/>
    <n v="93"/>
    <n v="1"/>
    <n v="3"/>
    <n v="6"/>
    <n v="12"/>
    <n v="1"/>
    <x v="0"/>
    <x v="0"/>
    <x v="0"/>
    <x v="0"/>
    <x v="0"/>
    <n v="0"/>
    <n v="3"/>
    <n v="11"/>
    <x v="1"/>
  </r>
  <r>
    <n v="10785"/>
    <n v="1969"/>
    <x v="0"/>
    <s v="Married"/>
    <n v="44078"/>
    <n v="1"/>
    <n v="1"/>
    <d v="2014-06-19T00:00:00"/>
    <n v="17"/>
    <n v="24"/>
    <n v="1"/>
    <n v="10"/>
    <n v="2"/>
    <n v="0"/>
    <n v="4"/>
    <n v="2"/>
    <n v="2"/>
    <n v="0"/>
    <n v="3"/>
    <n v="5"/>
    <x v="0"/>
    <x v="0"/>
    <x v="0"/>
    <x v="0"/>
    <x v="0"/>
    <n v="0"/>
    <n v="3"/>
    <n v="11"/>
    <x v="1"/>
  </r>
  <r>
    <n v="2814"/>
    <n v="1976"/>
    <x v="2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x v="0"/>
    <x v="0"/>
    <x v="0"/>
    <x v="0"/>
    <x v="0"/>
    <n v="0"/>
    <n v="3"/>
    <n v="11"/>
    <x v="1"/>
  </r>
  <r>
    <n v="6866"/>
    <n v="1969"/>
    <x v="2"/>
    <s v="Together"/>
    <n v="35924"/>
    <n v="1"/>
    <n v="1"/>
    <d v="2014-03-23T00:00:00"/>
    <n v="56"/>
    <n v="8"/>
    <n v="0"/>
    <n v="14"/>
    <n v="2"/>
    <n v="3"/>
    <n v="7"/>
    <n v="1"/>
    <n v="1"/>
    <n v="0"/>
    <n v="3"/>
    <n v="5"/>
    <x v="0"/>
    <x v="0"/>
    <x v="0"/>
    <x v="0"/>
    <x v="0"/>
    <n v="0"/>
    <n v="3"/>
    <n v="11"/>
    <x v="1"/>
  </r>
  <r>
    <n v="1665"/>
    <n v="1964"/>
    <x v="1"/>
    <s v="Divorced"/>
    <n v="64140"/>
    <n v="0"/>
    <n v="2"/>
    <d v="2013-09-23T00:00:00"/>
    <n v="71"/>
    <n v="1459"/>
    <n v="0"/>
    <n v="61"/>
    <n v="0"/>
    <n v="15"/>
    <n v="215"/>
    <n v="5"/>
    <n v="2"/>
    <n v="5"/>
    <n v="6"/>
    <n v="5"/>
    <x v="1"/>
    <x v="0"/>
    <x v="1"/>
    <x v="0"/>
    <x v="1"/>
    <n v="0"/>
    <n v="3"/>
    <n v="11"/>
    <x v="0"/>
  </r>
  <r>
    <n v="6575"/>
    <n v="1981"/>
    <x v="0"/>
    <s v="Together"/>
    <n v="56386"/>
    <n v="1"/>
    <n v="1"/>
    <d v="2012-10-27T00:00:00"/>
    <n v="51"/>
    <n v="230"/>
    <n v="48"/>
    <n v="214"/>
    <n v="13"/>
    <n v="32"/>
    <n v="75"/>
    <n v="8"/>
    <n v="9"/>
    <n v="1"/>
    <n v="7"/>
    <n v="9"/>
    <x v="0"/>
    <x v="0"/>
    <x v="0"/>
    <x v="0"/>
    <x v="0"/>
    <n v="0"/>
    <n v="3"/>
    <n v="11"/>
    <x v="1"/>
  </r>
  <r>
    <n v="3829"/>
    <n v="1979"/>
    <x v="3"/>
    <s v="Together"/>
    <n v="24594"/>
    <n v="1"/>
    <n v="0"/>
    <d v="2013-12-10T00:00:00"/>
    <n v="94"/>
    <n v="1"/>
    <n v="3"/>
    <n v="6"/>
    <n v="10"/>
    <n v="0"/>
    <n v="9"/>
    <n v="1"/>
    <n v="1"/>
    <n v="0"/>
    <n v="3"/>
    <n v="5"/>
    <x v="0"/>
    <x v="0"/>
    <x v="0"/>
    <x v="0"/>
    <x v="0"/>
    <n v="0"/>
    <n v="3"/>
    <n v="11"/>
    <x v="1"/>
  </r>
  <r>
    <n v="3091"/>
    <n v="1981"/>
    <x v="4"/>
    <s v="Together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x v="0"/>
    <x v="0"/>
    <x v="0"/>
    <x v="0"/>
    <x v="0"/>
    <n v="0"/>
    <n v="3"/>
    <n v="11"/>
    <x v="1"/>
  </r>
  <r>
    <n v="10141"/>
    <n v="1960"/>
    <x v="2"/>
    <s v="Divorced"/>
    <n v="39228"/>
    <n v="0"/>
    <n v="0"/>
    <d v="2013-05-10T00:00:00"/>
    <n v="1"/>
    <n v="7"/>
    <n v="1"/>
    <n v="6"/>
    <n v="0"/>
    <n v="3"/>
    <n v="3"/>
    <n v="1"/>
    <n v="0"/>
    <n v="0"/>
    <n v="3"/>
    <n v="4"/>
    <x v="0"/>
    <x v="0"/>
    <x v="0"/>
    <x v="0"/>
    <x v="0"/>
    <n v="0"/>
    <n v="3"/>
    <n v="11"/>
    <x v="1"/>
  </r>
  <r>
    <n v="5177"/>
    <n v="1974"/>
    <x v="2"/>
    <s v="Married"/>
    <n v="58494"/>
    <n v="0"/>
    <n v="1"/>
    <d v="2013-12-12T00:00:00"/>
    <n v="56"/>
    <n v="298"/>
    <n v="7"/>
    <n v="68"/>
    <n v="4"/>
    <n v="0"/>
    <n v="19"/>
    <n v="2"/>
    <n v="6"/>
    <n v="2"/>
    <n v="6"/>
    <n v="6"/>
    <x v="0"/>
    <x v="0"/>
    <x v="0"/>
    <x v="0"/>
    <x v="0"/>
    <n v="0"/>
    <n v="3"/>
    <n v="11"/>
    <x v="1"/>
  </r>
  <r>
    <n v="7005"/>
    <n v="1981"/>
    <x v="0"/>
    <s v="Single"/>
    <n v="58684"/>
    <n v="0"/>
    <n v="0"/>
    <d v="2014-06-16T00:00:00"/>
    <n v="71"/>
    <n v="479"/>
    <n v="35"/>
    <n v="179"/>
    <n v="28"/>
    <n v="7"/>
    <n v="85"/>
    <n v="1"/>
    <n v="5"/>
    <n v="3"/>
    <n v="12"/>
    <n v="2"/>
    <x v="0"/>
    <x v="1"/>
    <x v="0"/>
    <x v="0"/>
    <x v="0"/>
    <n v="0"/>
    <n v="3"/>
    <n v="11"/>
    <x v="1"/>
  </r>
  <r>
    <n v="6409"/>
    <n v="1967"/>
    <x v="0"/>
    <s v="Divorced"/>
    <n v="57136"/>
    <n v="0"/>
    <n v="0"/>
    <d v="2013-05-18T00:00:00"/>
    <n v="18"/>
    <n v="267"/>
    <n v="140"/>
    <n v="599"/>
    <n v="34"/>
    <n v="12"/>
    <n v="127"/>
    <n v="1"/>
    <n v="7"/>
    <n v="5"/>
    <n v="7"/>
    <n v="6"/>
    <x v="0"/>
    <x v="0"/>
    <x v="0"/>
    <x v="0"/>
    <x v="0"/>
    <n v="0"/>
    <n v="3"/>
    <n v="11"/>
    <x v="0"/>
  </r>
  <r>
    <n v="7485"/>
    <n v="1950"/>
    <x v="1"/>
    <s v="Widow"/>
    <n v="56551"/>
    <n v="1"/>
    <n v="1"/>
    <d v="2014-05-07T00:00:00"/>
    <n v="48"/>
    <n v="67"/>
    <n v="4"/>
    <n v="32"/>
    <n v="17"/>
    <n v="2"/>
    <n v="16"/>
    <n v="3"/>
    <n v="2"/>
    <n v="1"/>
    <n v="4"/>
    <n v="4"/>
    <x v="0"/>
    <x v="0"/>
    <x v="0"/>
    <x v="0"/>
    <x v="0"/>
    <n v="0"/>
    <n v="3"/>
    <n v="11"/>
    <x v="1"/>
  </r>
  <r>
    <n v="8079"/>
    <n v="1982"/>
    <x v="0"/>
    <s v="Married"/>
    <n v="22448"/>
    <n v="1"/>
    <n v="0"/>
    <d v="2014-02-26T00:00:00"/>
    <n v="86"/>
    <n v="3"/>
    <n v="1"/>
    <n v="8"/>
    <n v="23"/>
    <n v="2"/>
    <n v="18"/>
    <n v="3"/>
    <n v="2"/>
    <n v="1"/>
    <n v="3"/>
    <n v="3"/>
    <x v="0"/>
    <x v="0"/>
    <x v="0"/>
    <x v="0"/>
    <x v="0"/>
    <n v="0"/>
    <n v="3"/>
    <n v="11"/>
    <x v="1"/>
  </r>
  <r>
    <n v="8395"/>
    <n v="1961"/>
    <x v="0"/>
    <s v="Single"/>
    <n v="82014"/>
    <n v="0"/>
    <n v="0"/>
    <d v="2012-08-20T00:00:00"/>
    <n v="48"/>
    <n v="980"/>
    <n v="37"/>
    <n v="265"/>
    <n v="35"/>
    <n v="163"/>
    <n v="31"/>
    <n v="1"/>
    <n v="3"/>
    <n v="6"/>
    <n v="12"/>
    <n v="6"/>
    <x v="0"/>
    <x v="0"/>
    <x v="0"/>
    <x v="0"/>
    <x v="0"/>
    <n v="0"/>
    <n v="3"/>
    <n v="11"/>
    <x v="0"/>
  </r>
  <r>
    <n v="10352"/>
    <n v="1963"/>
    <x v="0"/>
    <s v="Widow"/>
    <n v="34213"/>
    <n v="1"/>
    <n v="1"/>
    <d v="2012-09-07T00:00:00"/>
    <n v="2"/>
    <n v="50"/>
    <n v="4"/>
    <n v="28"/>
    <n v="6"/>
    <n v="3"/>
    <n v="26"/>
    <n v="3"/>
    <n v="3"/>
    <n v="1"/>
    <n v="2"/>
    <n v="9"/>
    <x v="0"/>
    <x v="0"/>
    <x v="0"/>
    <x v="0"/>
    <x v="0"/>
    <n v="0"/>
    <n v="3"/>
    <n v="11"/>
    <x v="0"/>
  </r>
  <r>
    <n v="4931"/>
    <n v="1977"/>
    <x v="0"/>
    <s v="Together"/>
    <n v="157146"/>
    <n v="0"/>
    <n v="0"/>
    <d v="2013-04-29T00:00:00"/>
    <n v="13"/>
    <n v="1"/>
    <n v="0"/>
    <n v="1725"/>
    <n v="2"/>
    <n v="1"/>
    <n v="1"/>
    <n v="0"/>
    <n v="0"/>
    <n v="28"/>
    <n v="0"/>
    <n v="1"/>
    <x v="0"/>
    <x v="0"/>
    <x v="0"/>
    <x v="0"/>
    <x v="0"/>
    <n v="0"/>
    <n v="3"/>
    <n v="11"/>
    <x v="1"/>
  </r>
  <r>
    <n v="13"/>
    <n v="1947"/>
    <x v="1"/>
    <s v="Widow"/>
    <n v="25358"/>
    <n v="0"/>
    <n v="1"/>
    <d v="2013-07-22T00:00:00"/>
    <n v="57"/>
    <n v="19"/>
    <n v="0"/>
    <n v="5"/>
    <n v="0"/>
    <n v="0"/>
    <n v="8"/>
    <n v="2"/>
    <n v="1"/>
    <n v="0"/>
    <n v="3"/>
    <n v="6"/>
    <x v="0"/>
    <x v="0"/>
    <x v="0"/>
    <x v="0"/>
    <x v="0"/>
    <n v="0"/>
    <n v="3"/>
    <n v="11"/>
    <x v="1"/>
  </r>
  <r>
    <n v="1834"/>
    <n v="1978"/>
    <x v="2"/>
    <s v="Single"/>
    <n v="35544"/>
    <n v="1"/>
    <n v="0"/>
    <d v="2014-03-08T00:00:00"/>
    <n v="77"/>
    <n v="30"/>
    <n v="5"/>
    <n v="23"/>
    <n v="4"/>
    <n v="1"/>
    <n v="4"/>
    <n v="1"/>
    <n v="2"/>
    <n v="0"/>
    <n v="3"/>
    <n v="7"/>
    <x v="0"/>
    <x v="0"/>
    <x v="0"/>
    <x v="0"/>
    <x v="0"/>
    <n v="0"/>
    <n v="3"/>
    <n v="11"/>
    <x v="1"/>
  </r>
  <r>
    <n v="2285"/>
    <n v="1954"/>
    <x v="2"/>
    <s v="Together"/>
    <n v="36634"/>
    <n v="0"/>
    <n v="1"/>
    <d v="2013-05-28T00:00:00"/>
    <n v="0"/>
    <n v="213"/>
    <n v="9"/>
    <n v="76"/>
    <n v="4"/>
    <n v="3"/>
    <n v="30"/>
    <n v="3"/>
    <n v="5"/>
    <n v="2"/>
    <n v="5"/>
    <n v="7"/>
    <x v="0"/>
    <x v="0"/>
    <x v="0"/>
    <x v="0"/>
    <x v="0"/>
    <n v="0"/>
    <n v="3"/>
    <n v="11"/>
    <x v="1"/>
  </r>
  <r>
    <n v="2295"/>
    <n v="1954"/>
    <x v="1"/>
    <s v="Married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x v="0"/>
    <x v="0"/>
    <x v="0"/>
    <x v="0"/>
    <x v="0"/>
    <n v="0"/>
    <n v="3"/>
    <n v="11"/>
    <x v="1"/>
  </r>
  <r>
    <n v="1378"/>
    <n v="1972"/>
    <x v="4"/>
    <s v="Together"/>
    <n v="50334"/>
    <n v="0"/>
    <n v="1"/>
    <d v="2013-07-24T00:00:00"/>
    <n v="24"/>
    <n v="284"/>
    <n v="16"/>
    <n v="160"/>
    <n v="84"/>
    <n v="16"/>
    <n v="134"/>
    <n v="6"/>
    <n v="7"/>
    <n v="4"/>
    <n v="6"/>
    <n v="6"/>
    <x v="0"/>
    <x v="0"/>
    <x v="0"/>
    <x v="0"/>
    <x v="0"/>
    <n v="0"/>
    <n v="3"/>
    <n v="11"/>
    <x v="1"/>
  </r>
  <r>
    <n v="2781"/>
    <n v="1981"/>
    <x v="0"/>
    <s v="Single"/>
    <n v="72066"/>
    <n v="0"/>
    <n v="0"/>
    <d v="2014-06-23T00:00:00"/>
    <n v="55"/>
    <n v="1003"/>
    <n v="34"/>
    <n v="536"/>
    <n v="134"/>
    <n v="51"/>
    <n v="34"/>
    <n v="1"/>
    <n v="4"/>
    <n v="6"/>
    <n v="6"/>
    <n v="2"/>
    <x v="0"/>
    <x v="0"/>
    <x v="1"/>
    <x v="1"/>
    <x v="0"/>
    <n v="0"/>
    <n v="3"/>
    <n v="11"/>
    <x v="0"/>
  </r>
  <r>
    <n v="1165"/>
    <n v="1958"/>
    <x v="1"/>
    <s v="Single"/>
    <n v="50729"/>
    <n v="1"/>
    <n v="1"/>
    <d v="2013-05-02T00:00:00"/>
    <n v="62"/>
    <n v="239"/>
    <n v="13"/>
    <n v="143"/>
    <n v="45"/>
    <n v="4"/>
    <n v="52"/>
    <n v="9"/>
    <n v="6"/>
    <n v="2"/>
    <n v="7"/>
    <n v="6"/>
    <x v="0"/>
    <x v="0"/>
    <x v="0"/>
    <x v="0"/>
    <x v="0"/>
    <n v="0"/>
    <n v="3"/>
    <n v="11"/>
    <x v="1"/>
  </r>
  <r>
    <n v="1404"/>
    <n v="1968"/>
    <x v="0"/>
    <s v="Together"/>
    <n v="34916"/>
    <n v="2"/>
    <n v="0"/>
    <d v="2013-05-15T00:00:00"/>
    <n v="89"/>
    <n v="51"/>
    <n v="23"/>
    <n v="82"/>
    <n v="33"/>
    <n v="0"/>
    <n v="42"/>
    <n v="4"/>
    <n v="5"/>
    <n v="1"/>
    <n v="3"/>
    <n v="9"/>
    <x v="0"/>
    <x v="0"/>
    <x v="0"/>
    <x v="0"/>
    <x v="0"/>
    <n v="0"/>
    <n v="3"/>
    <n v="11"/>
    <x v="1"/>
  </r>
  <r>
    <n v="6457"/>
    <n v="1976"/>
    <x v="0"/>
    <s v="Divorced"/>
    <n v="64892"/>
    <n v="0"/>
    <n v="1"/>
    <d v="2014-05-29T00:00:00"/>
    <n v="77"/>
    <n v="527"/>
    <n v="24"/>
    <n v="230"/>
    <n v="32"/>
    <n v="24"/>
    <n v="65"/>
    <n v="2"/>
    <n v="6"/>
    <n v="4"/>
    <n v="12"/>
    <n v="4"/>
    <x v="0"/>
    <x v="0"/>
    <x v="0"/>
    <x v="0"/>
    <x v="0"/>
    <n v="0"/>
    <n v="3"/>
    <n v="11"/>
    <x v="1"/>
  </r>
  <r>
    <n v="2639"/>
    <n v="1966"/>
    <x v="0"/>
    <s v="Single"/>
    <n v="43602"/>
    <n v="1"/>
    <n v="1"/>
    <d v="2014-01-10T00:00:00"/>
    <n v="45"/>
    <n v="19"/>
    <n v="5"/>
    <n v="12"/>
    <n v="10"/>
    <n v="3"/>
    <n v="19"/>
    <n v="3"/>
    <n v="3"/>
    <n v="1"/>
    <n v="2"/>
    <n v="6"/>
    <x v="0"/>
    <x v="0"/>
    <x v="0"/>
    <x v="0"/>
    <x v="0"/>
    <n v="0"/>
    <n v="3"/>
    <n v="11"/>
    <x v="1"/>
  </r>
  <r>
    <n v="8299"/>
    <n v="1989"/>
    <x v="1"/>
    <s v="Single"/>
    <n v="33996"/>
    <n v="0"/>
    <n v="0"/>
    <d v="2013-09-11T00:00:00"/>
    <n v="46"/>
    <n v="40"/>
    <n v="2"/>
    <n v="15"/>
    <n v="8"/>
    <n v="0"/>
    <n v="6"/>
    <n v="1"/>
    <n v="1"/>
    <n v="1"/>
    <n v="3"/>
    <n v="4"/>
    <x v="0"/>
    <x v="0"/>
    <x v="0"/>
    <x v="0"/>
    <x v="0"/>
    <n v="0"/>
    <n v="3"/>
    <n v="11"/>
    <x v="1"/>
  </r>
  <r>
    <n v="6437"/>
    <n v="1985"/>
    <x v="4"/>
    <s v="Single"/>
    <n v="41473"/>
    <n v="1"/>
    <n v="0"/>
    <d v="2013-06-19T00:00:00"/>
    <n v="80"/>
    <n v="21"/>
    <n v="8"/>
    <n v="20"/>
    <n v="15"/>
    <n v="3"/>
    <n v="9"/>
    <n v="1"/>
    <n v="2"/>
    <n v="0"/>
    <n v="3"/>
    <n v="7"/>
    <x v="0"/>
    <x v="0"/>
    <x v="0"/>
    <x v="0"/>
    <x v="0"/>
    <n v="0"/>
    <n v="3"/>
    <n v="11"/>
    <x v="1"/>
  </r>
  <r>
    <n v="6912"/>
    <n v="1967"/>
    <x v="1"/>
    <s v="Married"/>
    <n v="63246"/>
    <n v="0"/>
    <n v="2"/>
    <d v="2013-08-20T00:00:00"/>
    <n v="60"/>
    <n v="593"/>
    <n v="30"/>
    <n v="91"/>
    <n v="29"/>
    <n v="22"/>
    <n v="7"/>
    <n v="1"/>
    <n v="6"/>
    <n v="3"/>
    <n v="12"/>
    <n v="4"/>
    <x v="0"/>
    <x v="0"/>
    <x v="0"/>
    <x v="0"/>
    <x v="0"/>
    <n v="0"/>
    <n v="3"/>
    <n v="11"/>
    <x v="1"/>
  </r>
  <r>
    <n v="7327"/>
    <n v="1959"/>
    <x v="1"/>
    <s v="Married"/>
    <n v="36732"/>
    <n v="1"/>
    <n v="1"/>
    <d v="2013-12-29T00:00:00"/>
    <n v="71"/>
    <n v="21"/>
    <n v="5"/>
    <n v="3"/>
    <n v="10"/>
    <n v="1"/>
    <n v="7"/>
    <n v="3"/>
    <n v="1"/>
    <n v="1"/>
    <n v="4"/>
    <n v="2"/>
    <x v="0"/>
    <x v="0"/>
    <x v="0"/>
    <x v="0"/>
    <x v="0"/>
    <n v="0"/>
    <n v="3"/>
    <n v="11"/>
    <x v="1"/>
  </r>
  <r>
    <n v="5299"/>
    <n v="1970"/>
    <x v="1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x v="0"/>
    <x v="0"/>
    <x v="0"/>
    <x v="0"/>
    <x v="0"/>
    <n v="0"/>
    <n v="3"/>
    <n v="11"/>
    <x v="1"/>
  </r>
  <r>
    <n v="4127"/>
    <n v="1967"/>
    <x v="1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x v="1"/>
    <x v="0"/>
    <x v="0"/>
    <x v="0"/>
    <x v="0"/>
    <n v="0"/>
    <n v="3"/>
    <n v="11"/>
    <x v="0"/>
  </r>
  <r>
    <n v="8143"/>
    <n v="1985"/>
    <x v="1"/>
    <s v="Single"/>
    <n v="37929"/>
    <n v="0"/>
    <n v="0"/>
    <d v="2013-07-30T00:00:00"/>
    <n v="49"/>
    <n v="202"/>
    <n v="2"/>
    <n v="46"/>
    <n v="3"/>
    <n v="2"/>
    <n v="10"/>
    <n v="2"/>
    <n v="4"/>
    <n v="2"/>
    <n v="5"/>
    <n v="7"/>
    <x v="0"/>
    <x v="1"/>
    <x v="0"/>
    <x v="1"/>
    <x v="0"/>
    <n v="0"/>
    <n v="3"/>
    <n v="11"/>
    <x v="0"/>
  </r>
  <r>
    <n v="1964"/>
    <n v="1951"/>
    <x v="0"/>
    <s v="Together"/>
    <n v="86610"/>
    <n v="0"/>
    <n v="0"/>
    <d v="2013-09-05T00:00:00"/>
    <n v="66"/>
    <n v="446"/>
    <n v="107"/>
    <n v="768"/>
    <n v="33"/>
    <n v="196"/>
    <n v="53"/>
    <n v="1"/>
    <n v="5"/>
    <n v="6"/>
    <n v="6"/>
    <n v="2"/>
    <x v="0"/>
    <x v="0"/>
    <x v="0"/>
    <x v="0"/>
    <x v="0"/>
    <n v="0"/>
    <n v="3"/>
    <n v="11"/>
    <x v="1"/>
  </r>
  <r>
    <n v="3690"/>
    <n v="1986"/>
    <x v="2"/>
    <s v="Married"/>
    <n v="80141"/>
    <n v="0"/>
    <n v="0"/>
    <d v="2013-01-11T00:00:00"/>
    <n v="20"/>
    <n v="1184"/>
    <n v="102"/>
    <n v="673"/>
    <n v="52"/>
    <n v="40"/>
    <n v="40"/>
    <n v="1"/>
    <n v="7"/>
    <n v="4"/>
    <n v="10"/>
    <n v="6"/>
    <x v="0"/>
    <x v="0"/>
    <x v="1"/>
    <x v="0"/>
    <x v="0"/>
    <n v="0"/>
    <n v="3"/>
    <n v="11"/>
    <x v="0"/>
  </r>
  <r>
    <n v="3433"/>
    <n v="1955"/>
    <x v="4"/>
    <s v="Married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x v="0"/>
    <x v="0"/>
    <x v="0"/>
    <x v="1"/>
    <x v="0"/>
    <n v="0"/>
    <n v="3"/>
    <n v="11"/>
    <x v="1"/>
  </r>
  <r>
    <n v="3389"/>
    <n v="1970"/>
    <x v="0"/>
    <s v="Married"/>
    <n v="69016"/>
    <n v="0"/>
    <n v="1"/>
    <d v="2012-11-22T00:00:00"/>
    <n v="61"/>
    <n v="726"/>
    <n v="53"/>
    <n v="363"/>
    <n v="123"/>
    <n v="107"/>
    <n v="161"/>
    <n v="4"/>
    <n v="8"/>
    <n v="9"/>
    <n v="13"/>
    <n v="5"/>
    <x v="0"/>
    <x v="0"/>
    <x v="0"/>
    <x v="0"/>
    <x v="0"/>
    <n v="0"/>
    <n v="3"/>
    <n v="11"/>
    <x v="1"/>
  </r>
  <r>
    <n v="4712"/>
    <n v="1991"/>
    <x v="4"/>
    <s v="Together"/>
    <n v="20193"/>
    <n v="0"/>
    <n v="0"/>
    <d v="2012-11-28T00:00:00"/>
    <n v="18"/>
    <n v="8"/>
    <n v="8"/>
    <n v="22"/>
    <n v="24"/>
    <n v="11"/>
    <n v="9"/>
    <n v="1"/>
    <n v="1"/>
    <n v="1"/>
    <n v="4"/>
    <n v="4"/>
    <x v="0"/>
    <x v="0"/>
    <x v="0"/>
    <x v="0"/>
    <x v="0"/>
    <n v="0"/>
    <n v="3"/>
    <n v="11"/>
    <x v="1"/>
  </r>
  <r>
    <n v="1170"/>
    <n v="1975"/>
    <x v="0"/>
    <s v="Married"/>
    <n v="27573"/>
    <n v="1"/>
    <n v="0"/>
    <d v="2013-03-25T00:00:00"/>
    <n v="45"/>
    <n v="50"/>
    <n v="15"/>
    <n v="110"/>
    <n v="39"/>
    <n v="15"/>
    <n v="15"/>
    <n v="4"/>
    <n v="5"/>
    <n v="1"/>
    <n v="4"/>
    <n v="8"/>
    <x v="0"/>
    <x v="0"/>
    <x v="0"/>
    <x v="0"/>
    <x v="0"/>
    <n v="0"/>
    <n v="3"/>
    <n v="11"/>
    <x v="1"/>
  </r>
  <r>
    <n v="6347"/>
    <n v="1979"/>
    <x v="3"/>
    <s v="Single"/>
    <n v="15862"/>
    <n v="1"/>
    <n v="0"/>
    <d v="2013-06-27T00:00:00"/>
    <n v="26"/>
    <n v="1"/>
    <n v="1"/>
    <n v="4"/>
    <n v="11"/>
    <n v="9"/>
    <n v="10"/>
    <n v="1"/>
    <n v="1"/>
    <n v="0"/>
    <n v="3"/>
    <n v="8"/>
    <x v="0"/>
    <x v="0"/>
    <x v="0"/>
    <x v="0"/>
    <x v="0"/>
    <n v="0"/>
    <n v="3"/>
    <n v="11"/>
    <x v="1"/>
  </r>
  <r>
    <n v="4065"/>
    <n v="1976"/>
    <x v="1"/>
    <s v="Married"/>
    <n v="49544"/>
    <n v="1"/>
    <n v="0"/>
    <d v="2013-02-12T00:00:00"/>
    <n v="0"/>
    <n v="308"/>
    <n v="0"/>
    <n v="73"/>
    <n v="0"/>
    <n v="0"/>
    <n v="23"/>
    <n v="2"/>
    <n v="5"/>
    <n v="1"/>
    <n v="8"/>
    <n v="7"/>
    <x v="0"/>
    <x v="0"/>
    <x v="0"/>
    <x v="0"/>
    <x v="0"/>
    <n v="0"/>
    <n v="3"/>
    <n v="11"/>
    <x v="1"/>
  </r>
  <r>
    <n v="8230"/>
    <n v="1980"/>
    <x v="0"/>
    <s v="Married"/>
    <n v="33228"/>
    <n v="1"/>
    <n v="0"/>
    <d v="2014-01-23T00:00:00"/>
    <n v="28"/>
    <n v="22"/>
    <n v="2"/>
    <n v="31"/>
    <n v="7"/>
    <n v="4"/>
    <n v="5"/>
    <n v="1"/>
    <n v="2"/>
    <n v="0"/>
    <n v="3"/>
    <n v="7"/>
    <x v="0"/>
    <x v="0"/>
    <x v="0"/>
    <x v="0"/>
    <x v="0"/>
    <n v="0"/>
    <n v="3"/>
    <n v="11"/>
    <x v="1"/>
  </r>
  <r>
    <n v="1215"/>
    <n v="1978"/>
    <x v="0"/>
    <s v="Together"/>
    <n v="70440"/>
    <n v="0"/>
    <n v="0"/>
    <d v="2013-10-08T00:00:00"/>
    <n v="49"/>
    <n v="690"/>
    <n v="117"/>
    <n v="499"/>
    <n v="76"/>
    <n v="102"/>
    <n v="88"/>
    <n v="1"/>
    <n v="5"/>
    <n v="10"/>
    <n v="7"/>
    <n v="3"/>
    <x v="0"/>
    <x v="0"/>
    <x v="0"/>
    <x v="1"/>
    <x v="0"/>
    <n v="0"/>
    <n v="3"/>
    <n v="11"/>
    <x v="1"/>
  </r>
  <r>
    <n v="5939"/>
    <n v="1971"/>
    <x v="0"/>
    <s v="Together"/>
    <n v="38232"/>
    <n v="1"/>
    <n v="1"/>
    <d v="2014-01-17T00:00:00"/>
    <n v="84"/>
    <n v="43"/>
    <n v="5"/>
    <n v="28"/>
    <n v="7"/>
    <n v="6"/>
    <n v="33"/>
    <n v="4"/>
    <n v="3"/>
    <n v="1"/>
    <n v="3"/>
    <n v="5"/>
    <x v="0"/>
    <x v="0"/>
    <x v="0"/>
    <x v="0"/>
    <x v="0"/>
    <n v="0"/>
    <n v="3"/>
    <n v="11"/>
    <x v="1"/>
  </r>
  <r>
    <n v="2156"/>
    <n v="1955"/>
    <x v="1"/>
    <s v="Married"/>
    <n v="22554"/>
    <n v="1"/>
    <n v="1"/>
    <d v="2012-11-03T00:00:00"/>
    <n v="38"/>
    <n v="27"/>
    <n v="0"/>
    <n v="10"/>
    <n v="0"/>
    <n v="0"/>
    <n v="4"/>
    <n v="4"/>
    <n v="2"/>
    <n v="0"/>
    <n v="4"/>
    <n v="5"/>
    <x v="0"/>
    <x v="0"/>
    <x v="0"/>
    <x v="0"/>
    <x v="0"/>
    <n v="0"/>
    <n v="3"/>
    <n v="11"/>
    <x v="1"/>
  </r>
  <r>
    <n v="7788"/>
    <n v="1983"/>
    <x v="1"/>
    <s v="Married"/>
    <n v="23536"/>
    <n v="1"/>
    <n v="0"/>
    <d v="2014-06-04T00:00:00"/>
    <n v="53"/>
    <n v="6"/>
    <n v="0"/>
    <n v="3"/>
    <n v="0"/>
    <n v="0"/>
    <n v="1"/>
    <n v="1"/>
    <n v="0"/>
    <n v="0"/>
    <n v="3"/>
    <n v="3"/>
    <x v="0"/>
    <x v="0"/>
    <x v="0"/>
    <x v="0"/>
    <x v="0"/>
    <n v="0"/>
    <n v="3"/>
    <n v="11"/>
    <x v="1"/>
  </r>
  <r>
    <n v="10323"/>
    <n v="1952"/>
    <x v="0"/>
    <s v="Married"/>
    <n v="49413"/>
    <n v="0"/>
    <n v="1"/>
    <d v="2013-10-25T00:00:00"/>
    <n v="88"/>
    <n v="205"/>
    <n v="7"/>
    <n v="41"/>
    <n v="3"/>
    <n v="2"/>
    <n v="46"/>
    <n v="2"/>
    <n v="4"/>
    <n v="2"/>
    <n v="5"/>
    <n v="5"/>
    <x v="0"/>
    <x v="0"/>
    <x v="0"/>
    <x v="0"/>
    <x v="0"/>
    <n v="0"/>
    <n v="3"/>
    <n v="11"/>
    <x v="1"/>
  </r>
  <r>
    <n v="7947"/>
    <n v="1969"/>
    <x v="0"/>
    <s v="Married"/>
    <n v="42231"/>
    <n v="1"/>
    <n v="1"/>
    <d v="2014-03-25T00:00:00"/>
    <n v="99"/>
    <n v="24"/>
    <n v="0"/>
    <n v="8"/>
    <n v="0"/>
    <n v="1"/>
    <n v="4"/>
    <n v="1"/>
    <n v="1"/>
    <n v="0"/>
    <n v="3"/>
    <n v="5"/>
    <x v="0"/>
    <x v="0"/>
    <x v="0"/>
    <x v="0"/>
    <x v="0"/>
    <n v="0"/>
    <n v="3"/>
    <n v="11"/>
    <x v="1"/>
  </r>
  <r>
    <n v="1891"/>
    <n v="1980"/>
    <x v="2"/>
    <s v="Divorced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x v="0"/>
    <x v="0"/>
    <x v="0"/>
    <x v="0"/>
    <x v="0"/>
    <n v="0"/>
    <n v="3"/>
    <n v="11"/>
    <x v="0"/>
  </r>
  <r>
    <n v="2570"/>
    <n v="1968"/>
    <x v="0"/>
    <s v="Together"/>
    <n v="56534"/>
    <n v="0"/>
    <n v="1"/>
    <d v="2013-07-23T00:00:00"/>
    <n v="35"/>
    <n v="691"/>
    <n v="7"/>
    <n v="61"/>
    <n v="10"/>
    <n v="0"/>
    <n v="46"/>
    <n v="4"/>
    <n v="10"/>
    <n v="4"/>
    <n v="7"/>
    <n v="8"/>
    <x v="0"/>
    <x v="1"/>
    <x v="0"/>
    <x v="0"/>
    <x v="1"/>
    <n v="0"/>
    <n v="3"/>
    <n v="11"/>
    <x v="0"/>
  </r>
  <r>
    <n v="9256"/>
    <n v="1971"/>
    <x v="0"/>
    <s v="Single"/>
    <n v="58350"/>
    <n v="0"/>
    <n v="1"/>
    <d v="2013-01-04T00:00:00"/>
    <n v="5"/>
    <n v="493"/>
    <n v="26"/>
    <n v="206"/>
    <n v="116"/>
    <n v="80"/>
    <n v="80"/>
    <n v="4"/>
    <n v="8"/>
    <n v="3"/>
    <n v="12"/>
    <n v="6"/>
    <x v="0"/>
    <x v="0"/>
    <x v="0"/>
    <x v="0"/>
    <x v="0"/>
    <n v="0"/>
    <n v="3"/>
    <n v="11"/>
    <x v="1"/>
  </r>
  <r>
    <n v="295"/>
    <n v="1989"/>
    <x v="0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x v="0"/>
    <x v="0"/>
    <x v="0"/>
    <x v="0"/>
    <x v="0"/>
    <n v="0"/>
    <n v="3"/>
    <n v="11"/>
    <x v="1"/>
  </r>
  <r>
    <n v="7397"/>
    <n v="1951"/>
    <x v="0"/>
    <s v="Single"/>
    <n v="49090"/>
    <n v="0"/>
    <n v="1"/>
    <d v="2013-07-19T00:00:00"/>
    <n v="45"/>
    <n v="494"/>
    <n v="5"/>
    <n v="82"/>
    <n v="7"/>
    <n v="0"/>
    <n v="100"/>
    <n v="3"/>
    <n v="7"/>
    <n v="2"/>
    <n v="9"/>
    <n v="7"/>
    <x v="0"/>
    <x v="0"/>
    <x v="0"/>
    <x v="0"/>
    <x v="0"/>
    <n v="0"/>
    <n v="3"/>
    <n v="11"/>
    <x v="1"/>
  </r>
  <r>
    <n v="6349"/>
    <n v="1987"/>
    <x v="2"/>
    <s v="Divorced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x v="0"/>
    <x v="0"/>
    <x v="0"/>
    <x v="0"/>
    <x v="0"/>
    <n v="0"/>
    <n v="3"/>
    <n v="11"/>
    <x v="1"/>
  </r>
  <r>
    <n v="10790"/>
    <n v="1985"/>
    <x v="1"/>
    <s v="Married"/>
    <n v="18169"/>
    <n v="1"/>
    <n v="0"/>
    <d v="2013-02-19T00:00:00"/>
    <n v="40"/>
    <n v="9"/>
    <n v="0"/>
    <n v="5"/>
    <n v="0"/>
    <n v="0"/>
    <n v="7"/>
    <n v="1"/>
    <n v="1"/>
    <n v="0"/>
    <n v="2"/>
    <n v="8"/>
    <x v="0"/>
    <x v="0"/>
    <x v="0"/>
    <x v="0"/>
    <x v="0"/>
    <n v="0"/>
    <n v="3"/>
    <n v="11"/>
    <x v="1"/>
  </r>
  <r>
    <n v="10398"/>
    <n v="1981"/>
    <x v="4"/>
    <s v="Single"/>
    <n v="24336"/>
    <n v="1"/>
    <n v="0"/>
    <d v="2012-08-27T00:00:00"/>
    <n v="82"/>
    <n v="1"/>
    <n v="6"/>
    <n v="2"/>
    <n v="8"/>
    <n v="2"/>
    <n v="12"/>
    <n v="1"/>
    <n v="1"/>
    <n v="0"/>
    <n v="2"/>
    <n v="7"/>
    <x v="0"/>
    <x v="0"/>
    <x v="0"/>
    <x v="0"/>
    <x v="0"/>
    <n v="0"/>
    <n v="3"/>
    <n v="11"/>
    <x v="1"/>
  </r>
  <r>
    <n v="2431"/>
    <n v="1990"/>
    <x v="0"/>
    <s v="Married"/>
    <n v="18222"/>
    <n v="0"/>
    <n v="0"/>
    <d v="2012-12-31T00:00:00"/>
    <n v="70"/>
    <n v="12"/>
    <n v="4"/>
    <n v="19"/>
    <n v="12"/>
    <n v="6"/>
    <n v="14"/>
    <n v="1"/>
    <n v="2"/>
    <n v="0"/>
    <n v="3"/>
    <n v="8"/>
    <x v="0"/>
    <x v="0"/>
    <x v="0"/>
    <x v="0"/>
    <x v="0"/>
    <n v="0"/>
    <n v="3"/>
    <n v="11"/>
    <x v="1"/>
  </r>
  <r>
    <n v="550"/>
    <n v="1952"/>
    <x v="0"/>
    <s v="Divorced"/>
    <n v="62335"/>
    <n v="0"/>
    <n v="1"/>
    <d v="2013-05-23T00:00:00"/>
    <n v="87"/>
    <n v="243"/>
    <n v="131"/>
    <n v="217"/>
    <n v="85"/>
    <n v="6"/>
    <n v="26"/>
    <n v="2"/>
    <n v="3"/>
    <n v="3"/>
    <n v="13"/>
    <n v="2"/>
    <x v="0"/>
    <x v="0"/>
    <x v="0"/>
    <x v="0"/>
    <x v="0"/>
    <n v="0"/>
    <n v="3"/>
    <n v="11"/>
    <x v="1"/>
  </r>
  <r>
    <n v="1890"/>
    <n v="1971"/>
    <x v="4"/>
    <s v="Together"/>
    <n v="42033"/>
    <n v="1"/>
    <n v="1"/>
    <d v="2012-09-19T00:00:00"/>
    <n v="95"/>
    <n v="11"/>
    <n v="1"/>
    <n v="4"/>
    <n v="2"/>
    <n v="0"/>
    <n v="7"/>
    <n v="1"/>
    <n v="1"/>
    <n v="0"/>
    <n v="2"/>
    <n v="7"/>
    <x v="0"/>
    <x v="0"/>
    <x v="0"/>
    <x v="0"/>
    <x v="0"/>
    <n v="0"/>
    <n v="3"/>
    <n v="11"/>
    <x v="1"/>
  </r>
  <r>
    <n v="10742"/>
    <n v="1983"/>
    <x v="1"/>
    <s v="Married"/>
    <n v="86580"/>
    <n v="0"/>
    <n v="0"/>
    <d v="2013-02-27T00:00:00"/>
    <n v="72"/>
    <n v="532"/>
    <n v="21"/>
    <n v="127"/>
    <n v="26"/>
    <n v="20"/>
    <n v="20"/>
    <n v="0"/>
    <n v="4"/>
    <n v="2"/>
    <n v="5"/>
    <n v="1"/>
    <x v="0"/>
    <x v="0"/>
    <x v="1"/>
    <x v="0"/>
    <x v="0"/>
    <n v="0"/>
    <n v="3"/>
    <n v="11"/>
    <x v="1"/>
  </r>
  <r>
    <n v="10356"/>
    <n v="1957"/>
    <x v="1"/>
    <s v="Divorced"/>
    <n v="41437"/>
    <n v="1"/>
    <n v="1"/>
    <d v="2012-09-22T00:00:00"/>
    <n v="5"/>
    <n v="29"/>
    <n v="0"/>
    <n v="2"/>
    <n v="0"/>
    <n v="0"/>
    <n v="1"/>
    <n v="1"/>
    <n v="1"/>
    <n v="0"/>
    <n v="3"/>
    <n v="7"/>
    <x v="0"/>
    <x v="0"/>
    <x v="0"/>
    <x v="0"/>
    <x v="0"/>
    <n v="0"/>
    <n v="3"/>
    <n v="11"/>
    <x v="1"/>
  </r>
  <r>
    <n v="4676"/>
    <n v="1951"/>
    <x v="2"/>
    <s v="Widow"/>
    <n v="73705"/>
    <n v="0"/>
    <n v="2"/>
    <d v="2014-03-05T00:00:00"/>
    <n v="86"/>
    <n v="612"/>
    <n v="91"/>
    <n v="520"/>
    <n v="258"/>
    <n v="107"/>
    <n v="107"/>
    <n v="2"/>
    <n v="9"/>
    <n v="6"/>
    <n v="8"/>
    <n v="5"/>
    <x v="0"/>
    <x v="0"/>
    <x v="0"/>
    <x v="0"/>
    <x v="0"/>
    <n v="0"/>
    <n v="3"/>
    <n v="11"/>
    <x v="1"/>
  </r>
  <r>
    <n v="8852"/>
    <n v="1976"/>
    <x v="0"/>
    <s v="Married"/>
    <n v="61064"/>
    <n v="0"/>
    <n v="1"/>
    <d v="2012-08-31T00:00:00"/>
    <n v="80"/>
    <n v="387"/>
    <n v="126"/>
    <n v="342"/>
    <n v="0"/>
    <n v="45"/>
    <n v="180"/>
    <n v="5"/>
    <n v="8"/>
    <n v="4"/>
    <n v="11"/>
    <n v="6"/>
    <x v="0"/>
    <x v="0"/>
    <x v="0"/>
    <x v="0"/>
    <x v="0"/>
    <n v="0"/>
    <n v="3"/>
    <n v="11"/>
    <x v="1"/>
  </r>
  <r>
    <n v="3565"/>
    <n v="1955"/>
    <x v="2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x v="0"/>
    <x v="0"/>
    <x v="0"/>
    <x v="0"/>
    <x v="0"/>
    <n v="0"/>
    <n v="3"/>
    <n v="11"/>
    <x v="1"/>
  </r>
  <r>
    <n v="5294"/>
    <n v="1989"/>
    <x v="0"/>
    <s v="Single"/>
    <n v="18358"/>
    <n v="1"/>
    <n v="0"/>
    <d v="2013-11-20T00:00:00"/>
    <n v="49"/>
    <n v="6"/>
    <n v="8"/>
    <n v="19"/>
    <n v="16"/>
    <n v="4"/>
    <n v="4"/>
    <n v="3"/>
    <n v="3"/>
    <n v="0"/>
    <n v="4"/>
    <n v="7"/>
    <x v="0"/>
    <x v="0"/>
    <x v="0"/>
    <x v="0"/>
    <x v="0"/>
    <n v="0"/>
    <n v="3"/>
    <n v="11"/>
    <x v="1"/>
  </r>
  <r>
    <n v="1958"/>
    <n v="1973"/>
    <x v="1"/>
    <s v="Together"/>
    <n v="55012"/>
    <n v="0"/>
    <n v="1"/>
    <d v="2014-03-21T00:00:00"/>
    <n v="85"/>
    <n v="582"/>
    <n v="0"/>
    <n v="65"/>
    <n v="0"/>
    <n v="0"/>
    <n v="13"/>
    <n v="6"/>
    <n v="8"/>
    <n v="2"/>
    <n v="9"/>
    <n v="5"/>
    <x v="0"/>
    <x v="0"/>
    <x v="0"/>
    <x v="0"/>
    <x v="0"/>
    <n v="0"/>
    <n v="3"/>
    <n v="11"/>
    <x v="1"/>
  </r>
  <r>
    <n v="7349"/>
    <n v="1973"/>
    <x v="3"/>
    <s v="Together"/>
    <n v="9722"/>
    <n v="1"/>
    <n v="0"/>
    <d v="2012-10-02T00:00:00"/>
    <n v="7"/>
    <n v="6"/>
    <n v="17"/>
    <n v="16"/>
    <n v="6"/>
    <n v="16"/>
    <n v="42"/>
    <n v="4"/>
    <n v="3"/>
    <n v="1"/>
    <n v="3"/>
    <n v="8"/>
    <x v="0"/>
    <x v="0"/>
    <x v="0"/>
    <x v="0"/>
    <x v="0"/>
    <n v="0"/>
    <n v="3"/>
    <n v="11"/>
    <x v="0"/>
  </r>
  <r>
    <n v="8799"/>
    <n v="1984"/>
    <x v="1"/>
    <s v="Married"/>
    <n v="38175"/>
    <n v="1"/>
    <n v="0"/>
    <d v="2013-09-23T00:00:00"/>
    <n v="6"/>
    <n v="70"/>
    <n v="6"/>
    <n v="69"/>
    <n v="2"/>
    <n v="3"/>
    <n v="3"/>
    <n v="3"/>
    <n v="3"/>
    <n v="1"/>
    <n v="4"/>
    <n v="7"/>
    <x v="0"/>
    <x v="0"/>
    <x v="0"/>
    <x v="0"/>
    <x v="0"/>
    <n v="0"/>
    <n v="3"/>
    <n v="11"/>
    <x v="1"/>
  </r>
  <r>
    <n v="1351"/>
    <n v="1956"/>
    <x v="2"/>
    <s v="Together"/>
    <n v="58656"/>
    <n v="0"/>
    <n v="1"/>
    <d v="2012-09-20T00:00:00"/>
    <n v="25"/>
    <n v="962"/>
    <n v="12"/>
    <n v="194"/>
    <n v="16"/>
    <n v="24"/>
    <n v="12"/>
    <n v="4"/>
    <n v="7"/>
    <n v="8"/>
    <n v="13"/>
    <n v="6"/>
    <x v="0"/>
    <x v="0"/>
    <x v="1"/>
    <x v="0"/>
    <x v="0"/>
    <n v="0"/>
    <n v="3"/>
    <n v="11"/>
    <x v="1"/>
  </r>
  <r>
    <n v="1045"/>
    <n v="1965"/>
    <x v="0"/>
    <s v="Together"/>
    <n v="52117"/>
    <n v="0"/>
    <n v="1"/>
    <d v="2012-08-16T00:00:00"/>
    <n v="55"/>
    <n v="112"/>
    <n v="10"/>
    <n v="107"/>
    <n v="30"/>
    <n v="0"/>
    <n v="20"/>
    <n v="2"/>
    <n v="5"/>
    <n v="2"/>
    <n v="4"/>
    <n v="7"/>
    <x v="0"/>
    <x v="0"/>
    <x v="0"/>
    <x v="0"/>
    <x v="0"/>
    <n v="0"/>
    <n v="3"/>
    <n v="11"/>
    <x v="1"/>
  </r>
  <r>
    <n v="7732"/>
    <n v="1978"/>
    <x v="0"/>
    <s v="Married"/>
    <n v="64813"/>
    <n v="1"/>
    <n v="0"/>
    <d v="2014-01-02T00:00:00"/>
    <n v="81"/>
    <n v="293"/>
    <n v="0"/>
    <n v="124"/>
    <n v="179"/>
    <n v="97"/>
    <n v="52"/>
    <n v="1"/>
    <n v="7"/>
    <n v="2"/>
    <n v="10"/>
    <n v="5"/>
    <x v="0"/>
    <x v="0"/>
    <x v="0"/>
    <x v="0"/>
    <x v="0"/>
    <n v="0"/>
    <n v="3"/>
    <n v="11"/>
    <x v="1"/>
  </r>
  <r>
    <n v="8070"/>
    <n v="1973"/>
    <x v="1"/>
    <s v="Married"/>
    <n v="54222"/>
    <n v="0"/>
    <n v="1"/>
    <d v="2014-03-01T00:00:00"/>
    <n v="98"/>
    <n v="199"/>
    <n v="12"/>
    <n v="31"/>
    <n v="3"/>
    <n v="12"/>
    <n v="7"/>
    <n v="1"/>
    <n v="3"/>
    <n v="3"/>
    <n v="5"/>
    <n v="3"/>
    <x v="0"/>
    <x v="0"/>
    <x v="0"/>
    <x v="0"/>
    <x v="0"/>
    <n v="0"/>
    <n v="3"/>
    <n v="11"/>
    <x v="1"/>
  </r>
  <r>
    <n v="477"/>
    <n v="1986"/>
    <x v="0"/>
    <s v="Married"/>
    <n v="83512"/>
    <n v="0"/>
    <n v="0"/>
    <d v="2014-06-17T00:00:00"/>
    <n v="31"/>
    <n v="1060"/>
    <n v="61"/>
    <n v="835"/>
    <n v="80"/>
    <n v="20"/>
    <n v="101"/>
    <n v="1"/>
    <n v="4"/>
    <n v="7"/>
    <n v="10"/>
    <n v="1"/>
    <x v="1"/>
    <x v="0"/>
    <x v="1"/>
    <x v="1"/>
    <x v="1"/>
    <n v="0"/>
    <n v="3"/>
    <n v="11"/>
    <x v="0"/>
  </r>
  <r>
    <n v="7832"/>
    <n v="1959"/>
    <x v="2"/>
    <s v="Married"/>
    <n v="77520"/>
    <n v="0"/>
    <n v="1"/>
    <d v="2013-08-28T00:00:00"/>
    <n v="30"/>
    <n v="940"/>
    <n v="44"/>
    <n v="396"/>
    <n v="0"/>
    <n v="88"/>
    <n v="58"/>
    <n v="1"/>
    <n v="8"/>
    <n v="7"/>
    <n v="7"/>
    <n v="4"/>
    <x v="1"/>
    <x v="0"/>
    <x v="1"/>
    <x v="1"/>
    <x v="0"/>
    <n v="0"/>
    <n v="3"/>
    <n v="11"/>
    <x v="0"/>
  </r>
  <r>
    <n v="2202"/>
    <n v="1978"/>
    <x v="0"/>
    <s v="Together"/>
    <n v="41154"/>
    <n v="0"/>
    <n v="1"/>
    <d v="2013-04-09T00:00:00"/>
    <n v="98"/>
    <n v="44"/>
    <n v="2"/>
    <n v="11"/>
    <n v="2"/>
    <n v="3"/>
    <n v="7"/>
    <n v="1"/>
    <n v="1"/>
    <n v="0"/>
    <n v="4"/>
    <n v="5"/>
    <x v="0"/>
    <x v="0"/>
    <x v="0"/>
    <x v="0"/>
    <x v="0"/>
    <n v="0"/>
    <n v="3"/>
    <n v="11"/>
    <x v="1"/>
  </r>
  <r>
    <n v="7396"/>
    <n v="1966"/>
    <x v="0"/>
    <s v="Married"/>
    <n v="80398"/>
    <n v="0"/>
    <n v="0"/>
    <d v="2012-11-10T00:00:00"/>
    <n v="92"/>
    <n v="342"/>
    <n v="51"/>
    <n v="936"/>
    <n v="207"/>
    <n v="35"/>
    <n v="26"/>
    <n v="1"/>
    <n v="5"/>
    <n v="8"/>
    <n v="12"/>
    <n v="3"/>
    <x v="0"/>
    <x v="0"/>
    <x v="1"/>
    <x v="0"/>
    <x v="0"/>
    <n v="0"/>
    <n v="3"/>
    <n v="11"/>
    <x v="1"/>
  </r>
  <r>
    <n v="4055"/>
    <n v="1992"/>
    <x v="3"/>
    <s v="Single"/>
    <n v="18746"/>
    <n v="1"/>
    <n v="0"/>
    <d v="2014-05-29T00:00:00"/>
    <n v="41"/>
    <n v="2"/>
    <n v="10"/>
    <n v="11"/>
    <n v="12"/>
    <n v="9"/>
    <n v="20"/>
    <n v="2"/>
    <n v="3"/>
    <n v="0"/>
    <n v="3"/>
    <n v="6"/>
    <x v="0"/>
    <x v="0"/>
    <x v="0"/>
    <x v="0"/>
    <x v="0"/>
    <n v="0"/>
    <n v="3"/>
    <n v="11"/>
    <x v="1"/>
  </r>
  <r>
    <n v="10340"/>
    <n v="1984"/>
    <x v="0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x v="0"/>
    <x v="0"/>
    <x v="0"/>
    <x v="0"/>
    <x v="0"/>
    <n v="0"/>
    <n v="3"/>
    <n v="11"/>
    <x v="1"/>
  </r>
  <r>
    <n v="10091"/>
    <n v="1956"/>
    <x v="0"/>
    <s v="Single"/>
    <n v="60230"/>
    <n v="0"/>
    <n v="1"/>
    <d v="2013-05-20T00:00:00"/>
    <n v="78"/>
    <n v="520"/>
    <n v="20"/>
    <n v="367"/>
    <n v="39"/>
    <n v="81"/>
    <n v="40"/>
    <n v="2"/>
    <n v="6"/>
    <n v="3"/>
    <n v="6"/>
    <n v="5"/>
    <x v="0"/>
    <x v="0"/>
    <x v="0"/>
    <x v="0"/>
    <x v="0"/>
    <n v="0"/>
    <n v="3"/>
    <n v="11"/>
    <x v="1"/>
  </r>
  <r>
    <n v="7629"/>
    <n v="1977"/>
    <x v="0"/>
    <s v="Married"/>
    <n v="22108"/>
    <n v="1"/>
    <n v="1"/>
    <d v="2014-05-08T00:00:00"/>
    <n v="46"/>
    <n v="5"/>
    <n v="3"/>
    <n v="9"/>
    <n v="6"/>
    <n v="2"/>
    <n v="6"/>
    <n v="2"/>
    <n v="2"/>
    <n v="0"/>
    <n v="3"/>
    <n v="7"/>
    <x v="0"/>
    <x v="0"/>
    <x v="0"/>
    <x v="0"/>
    <x v="0"/>
    <n v="0"/>
    <n v="3"/>
    <n v="11"/>
    <x v="1"/>
  </r>
  <r>
    <n v="10640"/>
    <n v="1974"/>
    <x v="0"/>
    <s v="Together"/>
    <n v="44392"/>
    <n v="1"/>
    <n v="1"/>
    <d v="2013-09-05T00:00:00"/>
    <n v="71"/>
    <n v="87"/>
    <n v="5"/>
    <n v="71"/>
    <n v="7"/>
    <n v="12"/>
    <n v="29"/>
    <n v="5"/>
    <n v="4"/>
    <n v="1"/>
    <n v="4"/>
    <n v="7"/>
    <x v="0"/>
    <x v="0"/>
    <x v="0"/>
    <x v="0"/>
    <x v="0"/>
    <n v="0"/>
    <n v="3"/>
    <n v="11"/>
    <x v="1"/>
  </r>
  <r>
    <n v="3498"/>
    <n v="1976"/>
    <x v="1"/>
    <s v="Married"/>
    <n v="55424"/>
    <n v="0"/>
    <n v="1"/>
    <d v="2012-11-25T00:00:00"/>
    <n v="6"/>
    <n v="462"/>
    <n v="61"/>
    <n v="184"/>
    <n v="10"/>
    <n v="53"/>
    <n v="107"/>
    <n v="4"/>
    <n v="7"/>
    <n v="5"/>
    <n v="9"/>
    <n v="6"/>
    <x v="1"/>
    <x v="0"/>
    <x v="0"/>
    <x v="0"/>
    <x v="0"/>
    <n v="0"/>
    <n v="3"/>
    <n v="11"/>
    <x v="0"/>
  </r>
  <r>
    <n v="6742"/>
    <n v="1979"/>
    <x v="0"/>
    <s v="Married"/>
    <n v="17688"/>
    <n v="1"/>
    <n v="0"/>
    <d v="2013-01-13T00:00:00"/>
    <n v="82"/>
    <n v="2"/>
    <n v="2"/>
    <n v="1"/>
    <n v="3"/>
    <n v="1"/>
    <n v="2"/>
    <n v="1"/>
    <n v="1"/>
    <n v="0"/>
    <n v="2"/>
    <n v="8"/>
    <x v="0"/>
    <x v="0"/>
    <x v="0"/>
    <x v="0"/>
    <x v="0"/>
    <n v="1"/>
    <n v="3"/>
    <n v="11"/>
    <x v="1"/>
  </r>
  <r>
    <n v="1172"/>
    <n v="1983"/>
    <x v="1"/>
    <s v="Married"/>
    <n v="92491"/>
    <n v="0"/>
    <n v="0"/>
    <d v="2013-05-01T00:00:00"/>
    <n v="71"/>
    <n v="979"/>
    <n v="44"/>
    <n v="935"/>
    <n v="29"/>
    <n v="25"/>
    <n v="22"/>
    <n v="1"/>
    <n v="7"/>
    <n v="5"/>
    <n v="12"/>
    <n v="3"/>
    <x v="0"/>
    <x v="1"/>
    <x v="1"/>
    <x v="1"/>
    <x v="0"/>
    <n v="0"/>
    <n v="3"/>
    <n v="11"/>
    <x v="0"/>
  </r>
  <r>
    <n v="569"/>
    <n v="1991"/>
    <x v="0"/>
    <s v="Single"/>
    <n v="90273"/>
    <n v="0"/>
    <n v="0"/>
    <d v="2013-12-14T00:00:00"/>
    <n v="32"/>
    <n v="704"/>
    <n v="129"/>
    <n v="853"/>
    <n v="120"/>
    <n v="74"/>
    <n v="111"/>
    <n v="1"/>
    <n v="5"/>
    <n v="6"/>
    <n v="7"/>
    <n v="2"/>
    <x v="0"/>
    <x v="1"/>
    <x v="1"/>
    <x v="1"/>
    <x v="0"/>
    <n v="0"/>
    <n v="3"/>
    <n v="11"/>
    <x v="0"/>
  </r>
  <r>
    <n v="4686"/>
    <n v="1962"/>
    <x v="1"/>
    <s v="Widow"/>
    <n v="82571"/>
    <n v="0"/>
    <n v="0"/>
    <d v="2014-04-02T00:00:00"/>
    <n v="28"/>
    <n v="861"/>
    <n v="31"/>
    <n v="558"/>
    <n v="62"/>
    <n v="95"/>
    <n v="79"/>
    <n v="0"/>
    <n v="6"/>
    <n v="5"/>
    <n v="13"/>
    <n v="2"/>
    <x v="0"/>
    <x v="0"/>
    <x v="1"/>
    <x v="0"/>
    <x v="0"/>
    <n v="0"/>
    <n v="3"/>
    <n v="11"/>
    <x v="1"/>
  </r>
  <r>
    <n v="1381"/>
    <n v="1982"/>
    <x v="1"/>
    <s v="Single"/>
    <n v="38513"/>
    <n v="1"/>
    <n v="0"/>
    <d v="2014-01-28T00:00:00"/>
    <n v="20"/>
    <n v="172"/>
    <n v="3"/>
    <n v="115"/>
    <n v="16"/>
    <n v="0"/>
    <n v="18"/>
    <n v="5"/>
    <n v="6"/>
    <n v="1"/>
    <n v="5"/>
    <n v="8"/>
    <x v="0"/>
    <x v="0"/>
    <x v="0"/>
    <x v="0"/>
    <x v="0"/>
    <n v="0"/>
    <n v="3"/>
    <n v="11"/>
    <x v="0"/>
  </r>
  <r>
    <n v="2634"/>
    <n v="1979"/>
    <x v="2"/>
    <s v="Single"/>
    <n v="16653"/>
    <n v="1"/>
    <n v="0"/>
    <d v="2014-04-18T00:00:00"/>
    <n v="10"/>
    <n v="5"/>
    <n v="7"/>
    <n v="31"/>
    <n v="15"/>
    <n v="4"/>
    <n v="7"/>
    <n v="3"/>
    <n v="2"/>
    <n v="1"/>
    <n v="3"/>
    <n v="6"/>
    <x v="0"/>
    <x v="0"/>
    <x v="0"/>
    <x v="0"/>
    <x v="0"/>
    <n v="0"/>
    <n v="3"/>
    <n v="11"/>
    <x v="0"/>
  </r>
  <r>
    <n v="10905"/>
    <n v="1955"/>
    <x v="0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x v="0"/>
    <x v="0"/>
    <x v="0"/>
    <x v="0"/>
    <x v="0"/>
    <n v="0"/>
    <n v="3"/>
    <n v="11"/>
    <x v="0"/>
  </r>
  <r>
    <n v="1744"/>
    <n v="1965"/>
    <x v="3"/>
    <s v="Single"/>
    <n v="23529"/>
    <n v="0"/>
    <n v="1"/>
    <d v="2013-01-07T00:00:00"/>
    <n v="67"/>
    <n v="9"/>
    <n v="7"/>
    <n v="13"/>
    <n v="3"/>
    <n v="2"/>
    <n v="20"/>
    <n v="1"/>
    <n v="1"/>
    <n v="1"/>
    <n v="2"/>
    <n v="6"/>
    <x v="0"/>
    <x v="0"/>
    <x v="0"/>
    <x v="0"/>
    <x v="0"/>
    <n v="0"/>
    <n v="3"/>
    <n v="11"/>
    <x v="1"/>
  </r>
  <r>
    <n v="1000"/>
    <n v="1961"/>
    <x v="2"/>
    <s v="Together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x v="0"/>
    <x v="0"/>
    <x v="0"/>
    <x v="0"/>
    <x v="0"/>
    <n v="0"/>
    <n v="3"/>
    <n v="11"/>
    <x v="1"/>
  </r>
  <r>
    <n v="3828"/>
    <n v="1951"/>
    <x v="0"/>
    <s v="Married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x v="0"/>
    <x v="0"/>
    <x v="0"/>
    <x v="0"/>
    <x v="0"/>
    <n v="0"/>
    <n v="3"/>
    <n v="11"/>
    <x v="1"/>
  </r>
  <r>
    <n v="8605"/>
    <n v="1964"/>
    <x v="1"/>
    <s v="Together"/>
    <n v="46910"/>
    <n v="1"/>
    <n v="1"/>
    <d v="2014-03-23T00:00:00"/>
    <n v="36"/>
    <n v="48"/>
    <n v="0"/>
    <n v="14"/>
    <n v="0"/>
    <n v="0"/>
    <n v="6"/>
    <n v="2"/>
    <n v="2"/>
    <n v="0"/>
    <n v="3"/>
    <n v="6"/>
    <x v="0"/>
    <x v="0"/>
    <x v="0"/>
    <x v="0"/>
    <x v="0"/>
    <n v="0"/>
    <n v="3"/>
    <n v="11"/>
    <x v="1"/>
  </r>
  <r>
    <n v="10304"/>
    <n v="1959"/>
    <x v="0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x v="0"/>
    <x v="0"/>
    <x v="0"/>
    <x v="0"/>
    <x v="0"/>
    <n v="0"/>
    <n v="3"/>
    <n v="11"/>
    <x v="1"/>
  </r>
  <r>
    <n v="4351"/>
    <n v="1955"/>
    <x v="0"/>
    <s v="Divorced"/>
    <n v="37244"/>
    <n v="1"/>
    <n v="1"/>
    <d v="2013-04-27T00:00:00"/>
    <n v="90"/>
    <n v="18"/>
    <n v="2"/>
    <n v="10"/>
    <n v="0"/>
    <n v="0"/>
    <n v="25"/>
    <n v="1"/>
    <n v="1"/>
    <n v="1"/>
    <n v="2"/>
    <n v="7"/>
    <x v="1"/>
    <x v="0"/>
    <x v="0"/>
    <x v="0"/>
    <x v="0"/>
    <n v="0"/>
    <n v="3"/>
    <n v="11"/>
    <x v="1"/>
  </r>
  <r>
    <n v="10129"/>
    <n v="1966"/>
    <x v="0"/>
    <s v="Together"/>
    <n v="82427"/>
    <n v="0"/>
    <n v="0"/>
    <d v="2014-03-12T00:00:00"/>
    <n v="35"/>
    <n v="482"/>
    <n v="147"/>
    <n v="509"/>
    <n v="104"/>
    <n v="107"/>
    <n v="107"/>
    <n v="1"/>
    <n v="3"/>
    <n v="5"/>
    <n v="12"/>
    <n v="1"/>
    <x v="0"/>
    <x v="0"/>
    <x v="1"/>
    <x v="0"/>
    <x v="0"/>
    <n v="0"/>
    <n v="3"/>
    <n v="11"/>
    <x v="1"/>
  </r>
  <r>
    <n v="2499"/>
    <n v="1958"/>
    <x v="4"/>
    <s v="Single"/>
    <n v="75342"/>
    <n v="0"/>
    <n v="1"/>
    <d v="2013-05-06T00:00:00"/>
    <n v="38"/>
    <n v="204"/>
    <n v="97"/>
    <n v="97"/>
    <n v="21"/>
    <n v="118"/>
    <n v="26"/>
    <n v="1"/>
    <n v="5"/>
    <n v="2"/>
    <n v="10"/>
    <n v="4"/>
    <x v="0"/>
    <x v="0"/>
    <x v="0"/>
    <x v="0"/>
    <x v="0"/>
    <n v="0"/>
    <n v="3"/>
    <n v="11"/>
    <x v="1"/>
  </r>
  <r>
    <n v="10092"/>
    <n v="1954"/>
    <x v="0"/>
    <s v="Divorced"/>
    <n v="70044"/>
    <n v="0"/>
    <n v="1"/>
    <d v="2013-02-18T00:00:00"/>
    <n v="46"/>
    <n v="1073"/>
    <n v="0"/>
    <n v="250"/>
    <n v="153"/>
    <n v="14"/>
    <n v="14"/>
    <n v="4"/>
    <n v="7"/>
    <n v="10"/>
    <n v="5"/>
    <n v="5"/>
    <x v="0"/>
    <x v="0"/>
    <x v="0"/>
    <x v="0"/>
    <x v="0"/>
    <n v="0"/>
    <n v="3"/>
    <n v="11"/>
    <x v="1"/>
  </r>
  <r>
    <n v="7500"/>
    <n v="1967"/>
    <x v="0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x v="0"/>
    <x v="0"/>
    <x v="0"/>
    <x v="0"/>
    <x v="0"/>
    <n v="0"/>
    <n v="3"/>
    <n v="11"/>
    <x v="1"/>
  </r>
  <r>
    <n v="5796"/>
    <n v="1963"/>
    <x v="0"/>
    <s v="Married"/>
    <n v="77437"/>
    <n v="0"/>
    <n v="0"/>
    <d v="2013-11-26T00:00:00"/>
    <n v="70"/>
    <n v="560"/>
    <n v="21"/>
    <n v="442"/>
    <n v="29"/>
    <n v="44"/>
    <n v="29"/>
    <n v="1"/>
    <n v="4"/>
    <n v="5"/>
    <n v="13"/>
    <n v="1"/>
    <x v="0"/>
    <x v="0"/>
    <x v="1"/>
    <x v="0"/>
    <x v="0"/>
    <n v="0"/>
    <n v="3"/>
    <n v="11"/>
    <x v="1"/>
  </r>
  <r>
    <n v="10556"/>
    <n v="1959"/>
    <x v="0"/>
    <s v="Married"/>
    <n v="54984"/>
    <n v="0"/>
    <n v="1"/>
    <d v="2014-05-24T00:00:00"/>
    <n v="51"/>
    <n v="173"/>
    <n v="13"/>
    <n v="131"/>
    <n v="32"/>
    <n v="3"/>
    <n v="6"/>
    <n v="4"/>
    <n v="6"/>
    <n v="1"/>
    <n v="6"/>
    <n v="7"/>
    <x v="0"/>
    <x v="0"/>
    <x v="0"/>
    <x v="1"/>
    <x v="0"/>
    <n v="0"/>
    <n v="3"/>
    <n v="11"/>
    <x v="1"/>
  </r>
  <r>
    <n v="1064"/>
    <n v="1971"/>
    <x v="1"/>
    <s v="Married"/>
    <n v="42403"/>
    <n v="1"/>
    <n v="0"/>
    <d v="2013-12-11T00:00:00"/>
    <n v="18"/>
    <n v="22"/>
    <n v="1"/>
    <n v="11"/>
    <n v="0"/>
    <n v="5"/>
    <n v="3"/>
    <n v="1"/>
    <n v="1"/>
    <n v="0"/>
    <n v="3"/>
    <n v="8"/>
    <x v="0"/>
    <x v="0"/>
    <x v="0"/>
    <x v="0"/>
    <x v="0"/>
    <n v="0"/>
    <n v="3"/>
    <n v="11"/>
    <x v="1"/>
  </r>
  <r>
    <n v="48"/>
    <n v="1964"/>
    <x v="0"/>
    <s v="Together"/>
    <n v="55761"/>
    <n v="0"/>
    <n v="1"/>
    <d v="2014-04-24T00:00:00"/>
    <n v="97"/>
    <n v="136"/>
    <n v="1"/>
    <n v="12"/>
    <n v="0"/>
    <n v="3"/>
    <n v="32"/>
    <n v="2"/>
    <n v="4"/>
    <n v="1"/>
    <n v="3"/>
    <n v="6"/>
    <x v="0"/>
    <x v="1"/>
    <x v="0"/>
    <x v="0"/>
    <x v="0"/>
    <n v="0"/>
    <n v="3"/>
    <n v="11"/>
    <x v="1"/>
  </r>
  <r>
    <n v="7610"/>
    <n v="1983"/>
    <x v="0"/>
    <s v="Together"/>
    <n v="37292"/>
    <n v="1"/>
    <n v="0"/>
    <d v="2013-04-18T00:00:00"/>
    <n v="32"/>
    <n v="275"/>
    <n v="0"/>
    <n v="86"/>
    <n v="10"/>
    <n v="23"/>
    <n v="66"/>
    <n v="5"/>
    <n v="6"/>
    <n v="3"/>
    <n v="5"/>
    <n v="8"/>
    <x v="0"/>
    <x v="0"/>
    <x v="0"/>
    <x v="0"/>
    <x v="0"/>
    <n v="0"/>
    <n v="3"/>
    <n v="11"/>
    <x v="1"/>
  </r>
  <r>
    <n v="263"/>
    <n v="1945"/>
    <x v="1"/>
    <s v="Single"/>
    <n v="45576"/>
    <n v="0"/>
    <n v="0"/>
    <d v="2014-05-28T00:00:00"/>
    <n v="9"/>
    <n v="56"/>
    <n v="19"/>
    <n v="29"/>
    <n v="2"/>
    <n v="14"/>
    <n v="25"/>
    <n v="1"/>
    <n v="3"/>
    <n v="1"/>
    <n v="3"/>
    <n v="8"/>
    <x v="0"/>
    <x v="0"/>
    <x v="0"/>
    <x v="0"/>
    <x v="0"/>
    <n v="0"/>
    <n v="3"/>
    <n v="11"/>
    <x v="0"/>
  </r>
  <r>
    <n v="10814"/>
    <n v="1947"/>
    <x v="0"/>
    <s v="Together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x v="0"/>
    <x v="0"/>
    <x v="0"/>
    <x v="0"/>
    <x v="0"/>
    <n v="0"/>
    <n v="3"/>
    <n v="11"/>
    <x v="0"/>
  </r>
  <r>
    <n v="9710"/>
    <n v="1969"/>
    <x v="1"/>
    <s v="Divorced"/>
    <n v="58086"/>
    <n v="0"/>
    <n v="1"/>
    <d v="2013-01-20T00:00:00"/>
    <n v="80"/>
    <n v="708"/>
    <n v="7"/>
    <n v="62"/>
    <n v="0"/>
    <n v="0"/>
    <n v="15"/>
    <n v="2"/>
    <n v="11"/>
    <n v="3"/>
    <n v="7"/>
    <n v="8"/>
    <x v="0"/>
    <x v="0"/>
    <x v="0"/>
    <x v="0"/>
    <x v="0"/>
    <n v="0"/>
    <n v="3"/>
    <n v="11"/>
    <x v="1"/>
  </r>
  <r>
    <n v="9292"/>
    <n v="1952"/>
    <x v="0"/>
    <s v="Married"/>
    <n v="81795"/>
    <n v="0"/>
    <n v="0"/>
    <d v="2012-10-26T00:00:00"/>
    <n v="74"/>
    <n v="324"/>
    <n v="132"/>
    <n v="693"/>
    <n v="27"/>
    <n v="118"/>
    <n v="88"/>
    <n v="1"/>
    <n v="4"/>
    <n v="11"/>
    <n v="7"/>
    <n v="2"/>
    <x v="0"/>
    <x v="0"/>
    <x v="0"/>
    <x v="0"/>
    <x v="0"/>
    <n v="0"/>
    <n v="3"/>
    <n v="11"/>
    <x v="1"/>
  </r>
  <r>
    <n v="10250"/>
    <n v="1947"/>
    <x v="3"/>
    <s v="Together"/>
    <n v="28389"/>
    <n v="0"/>
    <n v="0"/>
    <d v="2012-11-20T00:00:00"/>
    <n v="49"/>
    <n v="1"/>
    <n v="5"/>
    <n v="3"/>
    <n v="7"/>
    <n v="4"/>
    <n v="8"/>
    <n v="1"/>
    <n v="1"/>
    <n v="0"/>
    <n v="2"/>
    <n v="7"/>
    <x v="0"/>
    <x v="0"/>
    <x v="0"/>
    <x v="0"/>
    <x v="0"/>
    <n v="0"/>
    <n v="3"/>
    <n v="11"/>
    <x v="1"/>
  </r>
  <r>
    <n v="7881"/>
    <n v="1946"/>
    <x v="2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x v="0"/>
    <x v="0"/>
    <x v="0"/>
    <x v="0"/>
    <x v="0"/>
    <n v="0"/>
    <n v="3"/>
    <n v="11"/>
    <x v="1"/>
  </r>
  <r>
    <n v="5847"/>
    <n v="1969"/>
    <x v="0"/>
    <s v="Divorced"/>
    <n v="69901"/>
    <n v="0"/>
    <n v="1"/>
    <d v="2013-05-29T00:00:00"/>
    <n v="95"/>
    <n v="312"/>
    <n v="21"/>
    <n v="206"/>
    <n v="102"/>
    <n v="92"/>
    <n v="149"/>
    <n v="3"/>
    <n v="7"/>
    <n v="3"/>
    <n v="10"/>
    <n v="5"/>
    <x v="0"/>
    <x v="0"/>
    <x v="0"/>
    <x v="0"/>
    <x v="0"/>
    <n v="0"/>
    <n v="3"/>
    <n v="11"/>
    <x v="1"/>
  </r>
  <r>
    <n v="737"/>
    <n v="1949"/>
    <x v="1"/>
    <s v="Married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x v="0"/>
    <x v="1"/>
    <x v="1"/>
    <x v="1"/>
    <x v="0"/>
    <n v="0"/>
    <n v="3"/>
    <n v="11"/>
    <x v="1"/>
  </r>
  <r>
    <n v="3571"/>
    <n v="1961"/>
    <x v="1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x v="0"/>
    <x v="1"/>
    <x v="0"/>
    <x v="0"/>
    <x v="0"/>
    <n v="0"/>
    <n v="3"/>
    <n v="11"/>
    <x v="0"/>
  </r>
  <r>
    <n v="7807"/>
    <n v="1974"/>
    <x v="0"/>
    <s v="Married"/>
    <n v="44989"/>
    <n v="0"/>
    <n v="1"/>
    <d v="2012-09-12T00:00:00"/>
    <n v="26"/>
    <n v="98"/>
    <n v="0"/>
    <n v="106"/>
    <n v="49"/>
    <n v="10"/>
    <n v="106"/>
    <n v="5"/>
    <n v="5"/>
    <n v="1"/>
    <n v="5"/>
    <n v="6"/>
    <x v="0"/>
    <x v="0"/>
    <x v="0"/>
    <x v="0"/>
    <x v="0"/>
    <n v="0"/>
    <n v="3"/>
    <n v="11"/>
    <x v="1"/>
  </r>
  <r>
    <n v="3878"/>
    <n v="1980"/>
    <x v="4"/>
    <s v="Single"/>
    <n v="31859"/>
    <n v="1"/>
    <n v="0"/>
    <d v="2014-02-27T00:00:00"/>
    <n v="3"/>
    <n v="3"/>
    <n v="4"/>
    <n v="7"/>
    <n v="15"/>
    <n v="8"/>
    <n v="11"/>
    <n v="1"/>
    <n v="1"/>
    <n v="0"/>
    <n v="3"/>
    <n v="7"/>
    <x v="0"/>
    <x v="0"/>
    <x v="0"/>
    <x v="0"/>
    <x v="0"/>
    <n v="0"/>
    <n v="3"/>
    <n v="11"/>
    <x v="1"/>
  </r>
  <r>
    <n v="5092"/>
    <n v="1949"/>
    <x v="1"/>
    <s v="Widow"/>
    <n v="51569"/>
    <n v="0"/>
    <n v="1"/>
    <d v="2013-02-12T00:00:00"/>
    <n v="39"/>
    <n v="380"/>
    <n v="0"/>
    <n v="47"/>
    <n v="6"/>
    <n v="0"/>
    <n v="34"/>
    <n v="4"/>
    <n v="7"/>
    <n v="1"/>
    <n v="7"/>
    <n v="8"/>
    <x v="0"/>
    <x v="1"/>
    <x v="0"/>
    <x v="0"/>
    <x v="0"/>
    <n v="0"/>
    <n v="3"/>
    <n v="11"/>
    <x v="0"/>
  </r>
  <r>
    <n v="2154"/>
    <n v="1971"/>
    <x v="0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x v="0"/>
    <x v="0"/>
    <x v="0"/>
    <x v="0"/>
    <x v="0"/>
    <n v="0"/>
    <n v="3"/>
    <n v="11"/>
    <x v="1"/>
  </r>
  <r>
    <n v="5394"/>
    <n v="1979"/>
    <x v="3"/>
    <s v="Single"/>
    <n v="16014"/>
    <n v="1"/>
    <n v="1"/>
    <d v="2013-03-17T00:00:00"/>
    <n v="42"/>
    <n v="3"/>
    <n v="9"/>
    <n v="4"/>
    <n v="7"/>
    <n v="8"/>
    <n v="7"/>
    <n v="4"/>
    <n v="1"/>
    <n v="1"/>
    <n v="4"/>
    <n v="3"/>
    <x v="0"/>
    <x v="0"/>
    <x v="0"/>
    <x v="0"/>
    <x v="0"/>
    <n v="0"/>
    <n v="3"/>
    <n v="11"/>
    <x v="1"/>
  </r>
  <r>
    <n v="3798"/>
    <n v="1968"/>
    <x v="0"/>
    <s v="Married"/>
    <n v="41120"/>
    <n v="1"/>
    <n v="1"/>
    <d v="2013-11-06T00:00:00"/>
    <n v="80"/>
    <n v="24"/>
    <n v="2"/>
    <n v="23"/>
    <n v="0"/>
    <n v="8"/>
    <n v="24"/>
    <n v="3"/>
    <n v="2"/>
    <n v="1"/>
    <n v="3"/>
    <n v="6"/>
    <x v="0"/>
    <x v="0"/>
    <x v="0"/>
    <x v="0"/>
    <x v="0"/>
    <n v="0"/>
    <n v="3"/>
    <n v="11"/>
    <x v="1"/>
  </r>
  <r>
    <n v="3524"/>
    <n v="1971"/>
    <x v="2"/>
    <s v="Single"/>
    <n v="39763"/>
    <n v="1"/>
    <n v="0"/>
    <d v="2013-08-04T00:00:00"/>
    <n v="9"/>
    <n v="80"/>
    <n v="1"/>
    <n v="60"/>
    <n v="4"/>
    <n v="6"/>
    <n v="16"/>
    <n v="2"/>
    <n v="5"/>
    <n v="1"/>
    <n v="2"/>
    <n v="9"/>
    <x v="0"/>
    <x v="0"/>
    <x v="0"/>
    <x v="0"/>
    <x v="0"/>
    <n v="0"/>
    <n v="3"/>
    <n v="11"/>
    <x v="0"/>
  </r>
  <r>
    <n v="5247"/>
    <n v="1955"/>
    <x v="1"/>
    <s v="Married"/>
    <n v="38725"/>
    <n v="1"/>
    <n v="1"/>
    <d v="2014-05-10T00:00:00"/>
    <n v="52"/>
    <n v="31"/>
    <n v="0"/>
    <n v="6"/>
    <n v="2"/>
    <n v="1"/>
    <n v="5"/>
    <n v="2"/>
    <n v="1"/>
    <n v="0"/>
    <n v="4"/>
    <n v="4"/>
    <x v="0"/>
    <x v="0"/>
    <x v="0"/>
    <x v="0"/>
    <x v="0"/>
    <n v="0"/>
    <n v="3"/>
    <n v="11"/>
    <x v="1"/>
  </r>
  <r>
    <n v="5883"/>
    <n v="1972"/>
    <x v="0"/>
    <s v="Married"/>
    <n v="77981"/>
    <n v="1"/>
    <n v="0"/>
    <d v="2013-05-26T00:00:00"/>
    <n v="78"/>
    <n v="138"/>
    <n v="120"/>
    <n v="204"/>
    <n v="16"/>
    <n v="126"/>
    <n v="60"/>
    <n v="3"/>
    <n v="7"/>
    <n v="4"/>
    <n v="7"/>
    <n v="5"/>
    <x v="0"/>
    <x v="0"/>
    <x v="0"/>
    <x v="0"/>
    <x v="0"/>
    <n v="0"/>
    <n v="3"/>
    <n v="11"/>
    <x v="1"/>
  </r>
  <r>
    <n v="2118"/>
    <n v="1964"/>
    <x v="4"/>
    <s v="Married"/>
    <n v="62905"/>
    <n v="0"/>
    <n v="1"/>
    <d v="2013-09-10T00:00:00"/>
    <n v="68"/>
    <n v="166"/>
    <n v="75"/>
    <n v="96"/>
    <n v="119"/>
    <n v="107"/>
    <n v="59"/>
    <n v="3"/>
    <n v="7"/>
    <n v="2"/>
    <n v="8"/>
    <n v="4"/>
    <x v="0"/>
    <x v="0"/>
    <x v="0"/>
    <x v="0"/>
    <x v="0"/>
    <n v="0"/>
    <n v="3"/>
    <n v="11"/>
    <x v="1"/>
  </r>
  <r>
    <n v="8812"/>
    <n v="1979"/>
    <x v="4"/>
    <s v="Divorced"/>
    <n v="13533"/>
    <n v="1"/>
    <n v="0"/>
    <d v="2013-03-10T00:00:00"/>
    <n v="45"/>
    <n v="12"/>
    <n v="3"/>
    <n v="8"/>
    <n v="8"/>
    <n v="0"/>
    <n v="17"/>
    <n v="2"/>
    <n v="2"/>
    <n v="0"/>
    <n v="3"/>
    <n v="7"/>
    <x v="0"/>
    <x v="0"/>
    <x v="0"/>
    <x v="0"/>
    <x v="0"/>
    <n v="0"/>
    <n v="3"/>
    <n v="11"/>
    <x v="1"/>
  </r>
  <r>
    <n v="6616"/>
    <n v="1975"/>
    <x v="0"/>
    <s v="Together"/>
    <n v="59481"/>
    <n v="0"/>
    <n v="1"/>
    <d v="2013-10-23T00:00:00"/>
    <n v="47"/>
    <n v="178"/>
    <n v="3"/>
    <n v="85"/>
    <n v="71"/>
    <n v="66"/>
    <n v="58"/>
    <n v="2"/>
    <n v="3"/>
    <n v="3"/>
    <n v="8"/>
    <n v="2"/>
    <x v="0"/>
    <x v="0"/>
    <x v="0"/>
    <x v="0"/>
    <x v="0"/>
    <n v="0"/>
    <n v="3"/>
    <n v="11"/>
    <x v="1"/>
  </r>
  <r>
    <n v="2797"/>
    <n v="1977"/>
    <x v="0"/>
    <s v="Married"/>
    <n v="72117"/>
    <n v="0"/>
    <n v="1"/>
    <d v="2013-08-20T00:00:00"/>
    <n v="34"/>
    <n v="707"/>
    <n v="20"/>
    <n v="171"/>
    <n v="65"/>
    <n v="60"/>
    <n v="50"/>
    <n v="1"/>
    <n v="9"/>
    <n v="7"/>
    <n v="9"/>
    <n v="5"/>
    <x v="0"/>
    <x v="0"/>
    <x v="0"/>
    <x v="0"/>
    <x v="0"/>
    <n v="0"/>
    <n v="3"/>
    <n v="11"/>
    <x v="1"/>
  </r>
  <r>
    <n v="4328"/>
    <n v="1986"/>
    <x v="4"/>
    <s v="Married"/>
    <n v="21955"/>
    <n v="1"/>
    <n v="0"/>
    <d v="2013-09-07T00:00:00"/>
    <n v="81"/>
    <n v="5"/>
    <n v="1"/>
    <n v="7"/>
    <n v="17"/>
    <n v="14"/>
    <n v="11"/>
    <n v="2"/>
    <n v="2"/>
    <n v="1"/>
    <n v="3"/>
    <n v="6"/>
    <x v="0"/>
    <x v="0"/>
    <x v="0"/>
    <x v="0"/>
    <x v="0"/>
    <n v="0"/>
    <n v="3"/>
    <n v="11"/>
    <x v="1"/>
  </r>
  <r>
    <n v="9167"/>
    <n v="1956"/>
    <x v="0"/>
    <s v="Married"/>
    <n v="67131"/>
    <n v="0"/>
    <n v="1"/>
    <d v="2013-03-26T00:00:00"/>
    <n v="72"/>
    <n v="465"/>
    <n v="71"/>
    <n v="250"/>
    <n v="93"/>
    <n v="35"/>
    <n v="62"/>
    <n v="3"/>
    <n v="9"/>
    <n v="2"/>
    <n v="12"/>
    <n v="6"/>
    <x v="0"/>
    <x v="0"/>
    <x v="0"/>
    <x v="0"/>
    <x v="0"/>
    <n v="0"/>
    <n v="3"/>
    <n v="11"/>
    <x v="1"/>
  </r>
  <r>
    <n v="10560"/>
    <n v="1980"/>
    <x v="1"/>
    <s v="Single"/>
    <n v="36802"/>
    <n v="1"/>
    <n v="0"/>
    <d v="2014-06-16T00:00:00"/>
    <n v="23"/>
    <n v="16"/>
    <n v="1"/>
    <n v="2"/>
    <n v="0"/>
    <n v="0"/>
    <n v="1"/>
    <n v="1"/>
    <n v="1"/>
    <n v="0"/>
    <n v="3"/>
    <n v="5"/>
    <x v="0"/>
    <x v="0"/>
    <x v="0"/>
    <x v="0"/>
    <x v="0"/>
    <n v="0"/>
    <n v="3"/>
    <n v="11"/>
    <x v="1"/>
  </r>
  <r>
    <n v="2631"/>
    <n v="1982"/>
    <x v="0"/>
    <s v="Together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x v="0"/>
    <x v="0"/>
    <x v="0"/>
    <x v="0"/>
    <x v="0"/>
    <n v="0"/>
    <n v="3"/>
    <n v="11"/>
    <x v="1"/>
  </r>
  <r>
    <n v="8312"/>
    <n v="1961"/>
    <x v="3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x v="0"/>
    <x v="0"/>
    <x v="0"/>
    <x v="0"/>
    <x v="0"/>
    <n v="0"/>
    <n v="3"/>
    <n v="11"/>
    <x v="1"/>
  </r>
  <r>
    <n v="5534"/>
    <n v="1975"/>
    <x v="2"/>
    <s v="Married"/>
    <n v="47808"/>
    <n v="0"/>
    <n v="1"/>
    <d v="2013-10-20T00:00:00"/>
    <n v="30"/>
    <n v="123"/>
    <n v="1"/>
    <n v="26"/>
    <n v="2"/>
    <n v="0"/>
    <n v="72"/>
    <n v="2"/>
    <n v="3"/>
    <n v="2"/>
    <n v="3"/>
    <n v="7"/>
    <x v="1"/>
    <x v="0"/>
    <x v="0"/>
    <x v="0"/>
    <x v="0"/>
    <n v="0"/>
    <n v="3"/>
    <n v="11"/>
    <x v="1"/>
  </r>
  <r>
    <n v="5093"/>
    <n v="1974"/>
    <x v="1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x v="0"/>
    <x v="0"/>
    <x v="0"/>
    <x v="0"/>
    <x v="0"/>
    <n v="0"/>
    <n v="3"/>
    <n v="11"/>
    <x v="0"/>
  </r>
  <r>
    <n v="7592"/>
    <n v="1946"/>
    <x v="1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x v="0"/>
    <x v="0"/>
    <x v="0"/>
    <x v="0"/>
    <x v="0"/>
    <n v="0"/>
    <n v="3"/>
    <n v="11"/>
    <x v="1"/>
  </r>
  <r>
    <n v="8895"/>
    <n v="1985"/>
    <x v="0"/>
    <s v="Single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x v="0"/>
    <x v="0"/>
    <x v="0"/>
    <x v="0"/>
    <x v="0"/>
    <n v="0"/>
    <n v="3"/>
    <n v="11"/>
    <x v="1"/>
  </r>
  <r>
    <n v="8584"/>
    <n v="1952"/>
    <x v="1"/>
    <s v="Together"/>
    <n v="85431"/>
    <n v="0"/>
    <n v="0"/>
    <d v="2013-06-08T00:00:00"/>
    <n v="54"/>
    <n v="376"/>
    <n v="53"/>
    <n v="462"/>
    <n v="168"/>
    <n v="53"/>
    <n v="53"/>
    <n v="1"/>
    <n v="2"/>
    <n v="7"/>
    <n v="7"/>
    <n v="0"/>
    <x v="0"/>
    <x v="0"/>
    <x v="0"/>
    <x v="0"/>
    <x v="0"/>
    <n v="0"/>
    <n v="3"/>
    <n v="11"/>
    <x v="1"/>
  </r>
  <r>
    <n v="2694"/>
    <n v="1967"/>
    <x v="0"/>
    <s v="Married"/>
    <n v="42664"/>
    <n v="0"/>
    <n v="1"/>
    <d v="2014-03-18T00:00:00"/>
    <n v="44"/>
    <n v="21"/>
    <n v="0"/>
    <n v="3"/>
    <n v="0"/>
    <n v="0"/>
    <n v="0"/>
    <n v="1"/>
    <n v="1"/>
    <n v="0"/>
    <n v="3"/>
    <n v="6"/>
    <x v="0"/>
    <x v="0"/>
    <x v="0"/>
    <x v="0"/>
    <x v="0"/>
    <n v="0"/>
    <n v="3"/>
    <n v="11"/>
    <x v="1"/>
  </r>
  <r>
    <n v="8910"/>
    <n v="1955"/>
    <x v="0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x v="0"/>
    <x v="0"/>
    <x v="0"/>
    <x v="0"/>
    <x v="0"/>
    <n v="0"/>
    <n v="3"/>
    <n v="11"/>
    <x v="0"/>
  </r>
  <r>
    <n v="7433"/>
    <n v="1985"/>
    <x v="0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x v="0"/>
    <x v="0"/>
    <x v="0"/>
    <x v="0"/>
    <x v="0"/>
    <n v="0"/>
    <n v="3"/>
    <n v="11"/>
    <x v="1"/>
  </r>
  <r>
    <n v="164"/>
    <n v="1977"/>
    <x v="1"/>
    <s v="Married"/>
    <n v="28973"/>
    <n v="0"/>
    <n v="0"/>
    <d v="2012-10-13T00:00:00"/>
    <n v="59"/>
    <n v="206"/>
    <n v="0"/>
    <n v="46"/>
    <n v="3"/>
    <n v="2"/>
    <n v="12"/>
    <n v="2"/>
    <n v="5"/>
    <n v="1"/>
    <n v="5"/>
    <n v="8"/>
    <x v="0"/>
    <x v="0"/>
    <x v="0"/>
    <x v="0"/>
    <x v="0"/>
    <n v="0"/>
    <n v="3"/>
    <n v="11"/>
    <x v="1"/>
  </r>
  <r>
    <n v="10477"/>
    <n v="1973"/>
    <x v="1"/>
    <s v="Together"/>
    <n v="39435"/>
    <n v="1"/>
    <n v="0"/>
    <d v="2013-08-06T00:00:00"/>
    <n v="16"/>
    <n v="71"/>
    <n v="0"/>
    <n v="18"/>
    <n v="0"/>
    <n v="0"/>
    <n v="13"/>
    <n v="1"/>
    <n v="3"/>
    <n v="1"/>
    <n v="2"/>
    <n v="7"/>
    <x v="0"/>
    <x v="0"/>
    <x v="0"/>
    <x v="0"/>
    <x v="0"/>
    <n v="0"/>
    <n v="3"/>
    <n v="11"/>
    <x v="1"/>
  </r>
  <r>
    <n v="2681"/>
    <n v="1984"/>
    <x v="4"/>
    <s v="Married"/>
    <n v="65370"/>
    <n v="0"/>
    <n v="0"/>
    <d v="2013-08-01T00:00:00"/>
    <n v="1"/>
    <n v="71"/>
    <n v="22"/>
    <n v="112"/>
    <n v="138"/>
    <n v="89"/>
    <n v="29"/>
    <n v="1"/>
    <n v="2"/>
    <n v="3"/>
    <n v="13"/>
    <n v="1"/>
    <x v="0"/>
    <x v="0"/>
    <x v="0"/>
    <x v="0"/>
    <x v="0"/>
    <n v="0"/>
    <n v="3"/>
    <n v="11"/>
    <x v="1"/>
  </r>
  <r>
    <n v="5150"/>
    <n v="1979"/>
    <x v="3"/>
    <s v="Single"/>
    <n v="20194"/>
    <n v="1"/>
    <n v="0"/>
    <d v="2012-12-17T00:00:00"/>
    <n v="64"/>
    <n v="0"/>
    <n v="4"/>
    <n v="7"/>
    <n v="11"/>
    <n v="10"/>
    <n v="15"/>
    <n v="2"/>
    <n v="2"/>
    <n v="0"/>
    <n v="3"/>
    <n v="6"/>
    <x v="0"/>
    <x v="0"/>
    <x v="0"/>
    <x v="0"/>
    <x v="0"/>
    <n v="0"/>
    <n v="3"/>
    <n v="11"/>
    <x v="1"/>
  </r>
  <r>
    <n v="5283"/>
    <n v="1976"/>
    <x v="1"/>
    <s v="Single"/>
    <n v="42473"/>
    <n v="1"/>
    <n v="1"/>
    <d v="2014-02-17T00:00:00"/>
    <n v="72"/>
    <n v="93"/>
    <n v="1"/>
    <n v="21"/>
    <n v="0"/>
    <n v="4"/>
    <n v="25"/>
    <n v="3"/>
    <n v="2"/>
    <n v="1"/>
    <n v="4"/>
    <n v="5"/>
    <x v="0"/>
    <x v="0"/>
    <x v="0"/>
    <x v="0"/>
    <x v="0"/>
    <n v="0"/>
    <n v="3"/>
    <n v="11"/>
    <x v="1"/>
  </r>
  <r>
    <n v="9645"/>
    <n v="1968"/>
    <x v="0"/>
    <s v="Married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x v="0"/>
    <x v="0"/>
    <x v="0"/>
    <x v="0"/>
    <x v="0"/>
    <n v="0"/>
    <n v="3"/>
    <n v="11"/>
    <x v="1"/>
  </r>
  <r>
    <n v="10678"/>
    <n v="1959"/>
    <x v="0"/>
    <s v="Together"/>
    <n v="71232"/>
    <n v="0"/>
    <n v="1"/>
    <d v="2013-11-28T00:00:00"/>
    <n v="91"/>
    <n v="653"/>
    <n v="17"/>
    <n v="170"/>
    <n v="34"/>
    <n v="26"/>
    <n v="17"/>
    <n v="2"/>
    <n v="11"/>
    <n v="2"/>
    <n v="10"/>
    <n v="7"/>
    <x v="0"/>
    <x v="0"/>
    <x v="0"/>
    <x v="0"/>
    <x v="0"/>
    <n v="0"/>
    <n v="3"/>
    <n v="11"/>
    <x v="1"/>
  </r>
  <r>
    <n v="7261"/>
    <n v="1971"/>
    <x v="0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x v="0"/>
    <x v="0"/>
    <x v="0"/>
    <x v="0"/>
    <x v="0"/>
    <n v="0"/>
    <n v="3"/>
    <n v="11"/>
    <x v="0"/>
  </r>
  <r>
    <n v="9648"/>
    <n v="1967"/>
    <x v="0"/>
    <s v="Single"/>
    <n v="46904"/>
    <n v="1"/>
    <n v="1"/>
    <d v="2012-11-03T00:00:00"/>
    <n v="20"/>
    <n v="153"/>
    <n v="4"/>
    <n v="56"/>
    <n v="0"/>
    <n v="9"/>
    <n v="31"/>
    <n v="4"/>
    <n v="5"/>
    <n v="1"/>
    <n v="4"/>
    <n v="8"/>
    <x v="0"/>
    <x v="0"/>
    <x v="0"/>
    <x v="0"/>
    <x v="0"/>
    <n v="0"/>
    <n v="3"/>
    <n v="11"/>
    <x v="1"/>
  </r>
  <r>
    <n v="2870"/>
    <n v="1973"/>
    <x v="0"/>
    <s v="Married"/>
    <n v="49094"/>
    <n v="0"/>
    <n v="1"/>
    <d v="2012-09-21T00:00:00"/>
    <n v="6"/>
    <n v="376"/>
    <n v="0"/>
    <n v="38"/>
    <n v="11"/>
    <n v="8"/>
    <n v="69"/>
    <n v="5"/>
    <n v="6"/>
    <n v="3"/>
    <n v="6"/>
    <n v="6"/>
    <x v="0"/>
    <x v="0"/>
    <x v="0"/>
    <x v="0"/>
    <x v="0"/>
    <n v="0"/>
    <n v="3"/>
    <n v="11"/>
    <x v="1"/>
  </r>
  <r>
    <n v="8008"/>
    <n v="1983"/>
    <x v="0"/>
    <s v="Together"/>
    <n v="36075"/>
    <n v="1"/>
    <n v="0"/>
    <d v="2013-12-09T00:00:00"/>
    <n v="54"/>
    <n v="46"/>
    <n v="0"/>
    <n v="30"/>
    <n v="12"/>
    <n v="1"/>
    <n v="30"/>
    <n v="1"/>
    <n v="2"/>
    <n v="0"/>
    <n v="4"/>
    <n v="6"/>
    <x v="0"/>
    <x v="0"/>
    <x v="0"/>
    <x v="0"/>
    <x v="0"/>
    <n v="0"/>
    <n v="3"/>
    <n v="11"/>
    <x v="1"/>
  </r>
  <r>
    <n v="1513"/>
    <n v="1979"/>
    <x v="4"/>
    <s v="Together"/>
    <n v="60839"/>
    <n v="1"/>
    <n v="1"/>
    <d v="2012-08-28T00:00:00"/>
    <n v="72"/>
    <n v="600"/>
    <n v="21"/>
    <n v="128"/>
    <n v="223"/>
    <n v="150"/>
    <n v="128"/>
    <n v="13"/>
    <n v="2"/>
    <n v="2"/>
    <n v="12"/>
    <n v="8"/>
    <x v="0"/>
    <x v="0"/>
    <x v="0"/>
    <x v="0"/>
    <x v="0"/>
    <n v="0"/>
    <n v="3"/>
    <n v="11"/>
    <x v="1"/>
  </r>
  <r>
    <n v="6173"/>
    <n v="1979"/>
    <x v="0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x v="0"/>
    <x v="0"/>
    <x v="0"/>
    <x v="0"/>
    <x v="0"/>
    <n v="0"/>
    <n v="3"/>
    <n v="11"/>
    <x v="1"/>
  </r>
  <r>
    <n v="1419"/>
    <n v="1950"/>
    <x v="0"/>
    <s v="Together"/>
    <n v="34026"/>
    <n v="1"/>
    <n v="1"/>
    <d v="2013-08-05T00:00:00"/>
    <n v="11"/>
    <n v="18"/>
    <n v="6"/>
    <n v="15"/>
    <n v="12"/>
    <n v="8"/>
    <n v="17"/>
    <n v="3"/>
    <n v="2"/>
    <n v="1"/>
    <n v="3"/>
    <n v="5"/>
    <x v="0"/>
    <x v="0"/>
    <x v="0"/>
    <x v="0"/>
    <x v="0"/>
    <n v="0"/>
    <n v="3"/>
    <n v="11"/>
    <x v="1"/>
  </r>
  <r>
    <n v="9150"/>
    <n v="1963"/>
    <x v="1"/>
    <s v="Single"/>
    <n v="48918"/>
    <n v="1"/>
    <n v="1"/>
    <d v="2014-04-12T00:00:00"/>
    <n v="21"/>
    <n v="52"/>
    <n v="0"/>
    <n v="9"/>
    <n v="0"/>
    <n v="0"/>
    <n v="1"/>
    <n v="2"/>
    <n v="1"/>
    <n v="0"/>
    <n v="4"/>
    <n v="4"/>
    <x v="0"/>
    <x v="0"/>
    <x v="0"/>
    <x v="0"/>
    <x v="0"/>
    <n v="0"/>
    <n v="3"/>
    <n v="11"/>
    <x v="1"/>
  </r>
  <r>
    <n v="7960"/>
    <n v="1962"/>
    <x v="4"/>
    <s v="Together"/>
    <n v="82122"/>
    <n v="0"/>
    <n v="0"/>
    <d v="2013-08-15T00:00:00"/>
    <n v="89"/>
    <n v="734"/>
    <n v="22"/>
    <n v="350"/>
    <n v="151"/>
    <n v="25"/>
    <n v="100"/>
    <n v="1"/>
    <n v="3"/>
    <n v="9"/>
    <n v="13"/>
    <n v="1"/>
    <x v="0"/>
    <x v="0"/>
    <x v="1"/>
    <x v="0"/>
    <x v="0"/>
    <n v="0"/>
    <n v="3"/>
    <n v="11"/>
    <x v="1"/>
  </r>
  <r>
    <n v="1250"/>
    <n v="1976"/>
    <x v="0"/>
    <s v="Single"/>
    <n v="37697"/>
    <n v="1"/>
    <n v="0"/>
    <d v="2014-02-07T00:00:00"/>
    <n v="82"/>
    <n v="34"/>
    <n v="6"/>
    <n v="21"/>
    <n v="11"/>
    <n v="4"/>
    <n v="8"/>
    <n v="1"/>
    <n v="2"/>
    <n v="1"/>
    <n v="3"/>
    <n v="6"/>
    <x v="0"/>
    <x v="0"/>
    <x v="0"/>
    <x v="0"/>
    <x v="0"/>
    <n v="0"/>
    <n v="3"/>
    <n v="11"/>
    <x v="1"/>
  </r>
  <r>
    <n v="9905"/>
    <n v="1952"/>
    <x v="0"/>
    <s v="Together"/>
    <n v="34074"/>
    <n v="1"/>
    <n v="1"/>
    <d v="2013-07-13T00:00:00"/>
    <n v="69"/>
    <n v="135"/>
    <n v="1"/>
    <n v="41"/>
    <n v="10"/>
    <n v="1"/>
    <n v="67"/>
    <n v="5"/>
    <n v="3"/>
    <n v="3"/>
    <n v="3"/>
    <n v="6"/>
    <x v="1"/>
    <x v="0"/>
    <x v="0"/>
    <x v="0"/>
    <x v="0"/>
    <n v="0"/>
    <n v="3"/>
    <n v="11"/>
    <x v="1"/>
  </r>
  <r>
    <n v="10691"/>
    <n v="1960"/>
    <x v="2"/>
    <s v="Married"/>
    <n v="28520"/>
    <n v="1"/>
    <n v="1"/>
    <d v="2013-06-14T00:00:00"/>
    <n v="55"/>
    <n v="11"/>
    <n v="0"/>
    <n v="10"/>
    <n v="0"/>
    <n v="2"/>
    <n v="20"/>
    <n v="1"/>
    <n v="1"/>
    <n v="1"/>
    <n v="2"/>
    <n v="6"/>
    <x v="0"/>
    <x v="0"/>
    <x v="0"/>
    <x v="0"/>
    <x v="0"/>
    <n v="0"/>
    <n v="3"/>
    <n v="11"/>
    <x v="1"/>
  </r>
  <r>
    <n v="7002"/>
    <n v="1955"/>
    <x v="0"/>
    <s v="Single"/>
    <n v="62535"/>
    <n v="0"/>
    <n v="1"/>
    <d v="2013-10-03T00:00:00"/>
    <n v="13"/>
    <n v="163"/>
    <n v="48"/>
    <n v="90"/>
    <n v="0"/>
    <n v="45"/>
    <n v="52"/>
    <n v="1"/>
    <n v="3"/>
    <n v="2"/>
    <n v="8"/>
    <n v="3"/>
    <x v="0"/>
    <x v="0"/>
    <x v="0"/>
    <x v="0"/>
    <x v="0"/>
    <n v="0"/>
    <n v="3"/>
    <n v="11"/>
    <x v="1"/>
  </r>
  <r>
    <n v="2952"/>
    <n v="1977"/>
    <x v="2"/>
    <s v="Single"/>
    <n v="36273"/>
    <n v="1"/>
    <n v="0"/>
    <d v="2014-04-16T00:00:00"/>
    <n v="80"/>
    <n v="29"/>
    <n v="3"/>
    <n v="30"/>
    <n v="3"/>
    <n v="2"/>
    <n v="9"/>
    <n v="2"/>
    <n v="3"/>
    <n v="0"/>
    <n v="3"/>
    <n v="6"/>
    <x v="0"/>
    <x v="0"/>
    <x v="0"/>
    <x v="0"/>
    <x v="0"/>
    <n v="0"/>
    <n v="3"/>
    <n v="11"/>
    <x v="1"/>
  </r>
  <r>
    <n v="8439"/>
    <n v="1964"/>
    <x v="0"/>
    <s v="Together"/>
    <n v="63404"/>
    <n v="0"/>
    <n v="2"/>
    <d v="2014-06-06T00:00:00"/>
    <n v="97"/>
    <n v="734"/>
    <n v="26"/>
    <n v="70"/>
    <n v="11"/>
    <n v="44"/>
    <n v="17"/>
    <n v="2"/>
    <n v="6"/>
    <n v="3"/>
    <n v="4"/>
    <n v="4"/>
    <x v="0"/>
    <x v="0"/>
    <x v="0"/>
    <x v="1"/>
    <x v="0"/>
    <n v="0"/>
    <n v="3"/>
    <n v="11"/>
    <x v="1"/>
  </r>
  <r>
    <n v="762"/>
    <n v="1981"/>
    <x v="4"/>
    <s v="Together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x v="0"/>
    <x v="0"/>
    <x v="0"/>
    <x v="0"/>
    <x v="0"/>
    <n v="0"/>
    <n v="3"/>
    <n v="11"/>
    <x v="1"/>
  </r>
  <r>
    <n v="2831"/>
    <n v="1976"/>
    <x v="0"/>
    <s v="Together"/>
    <n v="78416"/>
    <n v="0"/>
    <n v="1"/>
    <d v="2014-06-27T00:00:00"/>
    <n v="99"/>
    <n v="453"/>
    <n v="38"/>
    <n v="279"/>
    <n v="188"/>
    <n v="38"/>
    <n v="183"/>
    <n v="2"/>
    <n v="7"/>
    <n v="7"/>
    <n v="10"/>
    <n v="3"/>
    <x v="0"/>
    <x v="0"/>
    <x v="0"/>
    <x v="0"/>
    <x v="0"/>
    <n v="0"/>
    <n v="3"/>
    <n v="11"/>
    <x v="1"/>
  </r>
  <r>
    <n v="6977"/>
    <n v="1974"/>
    <x v="0"/>
    <s v="Together"/>
    <n v="75702"/>
    <n v="0"/>
    <n v="1"/>
    <d v="2012-10-14T00:00:00"/>
    <n v="87"/>
    <n v="1073"/>
    <n v="0"/>
    <n v="629"/>
    <n v="145"/>
    <n v="37"/>
    <n v="37"/>
    <n v="1"/>
    <n v="10"/>
    <n v="5"/>
    <n v="13"/>
    <n v="6"/>
    <x v="0"/>
    <x v="0"/>
    <x v="1"/>
    <x v="0"/>
    <x v="0"/>
    <n v="0"/>
    <n v="3"/>
    <n v="11"/>
    <x v="1"/>
  </r>
  <r>
    <n v="6289"/>
    <n v="1951"/>
    <x v="2"/>
    <s v="Together"/>
    <n v="59385"/>
    <n v="1"/>
    <n v="1"/>
    <d v="2013-04-28T00:00:00"/>
    <n v="85"/>
    <n v="135"/>
    <n v="0"/>
    <n v="10"/>
    <n v="0"/>
    <n v="4"/>
    <n v="36"/>
    <n v="2"/>
    <n v="3"/>
    <n v="1"/>
    <n v="4"/>
    <n v="5"/>
    <x v="0"/>
    <x v="0"/>
    <x v="0"/>
    <x v="0"/>
    <x v="0"/>
    <n v="0"/>
    <n v="3"/>
    <n v="11"/>
    <x v="1"/>
  </r>
  <r>
    <n v="4168"/>
    <n v="1966"/>
    <x v="0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x v="0"/>
    <x v="0"/>
    <x v="0"/>
    <x v="0"/>
    <x v="0"/>
    <n v="0"/>
    <n v="3"/>
    <n v="11"/>
    <x v="0"/>
  </r>
  <r>
    <n v="8397"/>
    <n v="1951"/>
    <x v="0"/>
    <s v="Married"/>
    <n v="44689"/>
    <n v="1"/>
    <n v="1"/>
    <d v="2014-01-10T00:00:00"/>
    <n v="82"/>
    <n v="18"/>
    <n v="0"/>
    <n v="5"/>
    <n v="0"/>
    <n v="0"/>
    <n v="11"/>
    <n v="2"/>
    <n v="1"/>
    <n v="1"/>
    <n v="2"/>
    <n v="7"/>
    <x v="1"/>
    <x v="0"/>
    <x v="0"/>
    <x v="0"/>
    <x v="0"/>
    <n v="0"/>
    <n v="3"/>
    <n v="11"/>
    <x v="1"/>
  </r>
  <r>
    <n v="9284"/>
    <n v="1958"/>
    <x v="0"/>
    <s v="Together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x v="0"/>
    <x v="0"/>
    <x v="0"/>
    <x v="0"/>
    <x v="0"/>
    <n v="0"/>
    <n v="3"/>
    <n v="11"/>
    <x v="1"/>
  </r>
  <r>
    <n v="6237"/>
    <n v="1966"/>
    <x v="1"/>
    <s v="Single"/>
    <n v="7144"/>
    <n v="0"/>
    <n v="2"/>
    <d v="2013-12-07T00:00:00"/>
    <n v="92"/>
    <n v="81"/>
    <n v="4"/>
    <n v="33"/>
    <n v="5"/>
    <n v="2"/>
    <n v="291"/>
    <n v="0"/>
    <n v="23"/>
    <n v="1"/>
    <n v="1"/>
    <n v="0"/>
    <x v="0"/>
    <x v="0"/>
    <x v="0"/>
    <x v="0"/>
    <x v="0"/>
    <n v="0"/>
    <n v="3"/>
    <n v="11"/>
    <x v="1"/>
  </r>
  <r>
    <n v="3130"/>
    <n v="1964"/>
    <x v="0"/>
    <s v="Single"/>
    <n v="18701"/>
    <n v="1"/>
    <n v="1"/>
    <d v="2013-06-04T00:00:00"/>
    <n v="95"/>
    <n v="12"/>
    <n v="4"/>
    <n v="2"/>
    <n v="10"/>
    <n v="6"/>
    <n v="10"/>
    <n v="4"/>
    <n v="2"/>
    <n v="0"/>
    <n v="4"/>
    <n v="5"/>
    <x v="0"/>
    <x v="0"/>
    <x v="0"/>
    <x v="0"/>
    <x v="0"/>
    <n v="0"/>
    <n v="3"/>
    <n v="11"/>
    <x v="1"/>
  </r>
  <r>
    <n v="1619"/>
    <n v="1956"/>
    <x v="0"/>
    <s v="Married"/>
    <n v="90369"/>
    <n v="0"/>
    <n v="0"/>
    <d v="2014-04-28T00:00:00"/>
    <n v="2"/>
    <n v="292"/>
    <n v="51"/>
    <n v="981"/>
    <n v="224"/>
    <n v="23"/>
    <n v="17"/>
    <n v="1"/>
    <n v="4"/>
    <n v="6"/>
    <n v="6"/>
    <n v="1"/>
    <x v="0"/>
    <x v="0"/>
    <x v="0"/>
    <x v="0"/>
    <x v="0"/>
    <n v="0"/>
    <n v="3"/>
    <n v="11"/>
    <x v="0"/>
  </r>
  <r>
    <n v="1990"/>
    <n v="1974"/>
    <x v="1"/>
    <s v="Single"/>
    <n v="63159"/>
    <n v="0"/>
    <n v="0"/>
    <d v="2012-11-05T00:00:00"/>
    <n v="74"/>
    <n v="965"/>
    <n v="34"/>
    <n v="586"/>
    <n v="89"/>
    <n v="86"/>
    <n v="37"/>
    <n v="1"/>
    <n v="3"/>
    <n v="5"/>
    <n v="8"/>
    <n v="3"/>
    <x v="1"/>
    <x v="0"/>
    <x v="0"/>
    <x v="0"/>
    <x v="0"/>
    <n v="0"/>
    <n v="3"/>
    <n v="11"/>
    <x v="1"/>
  </r>
  <r>
    <n v="5513"/>
    <n v="1966"/>
    <x v="0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x v="0"/>
    <x v="0"/>
    <x v="0"/>
    <x v="0"/>
    <x v="0"/>
    <n v="0"/>
    <n v="3"/>
    <n v="11"/>
    <x v="1"/>
  </r>
  <r>
    <n v="269"/>
    <n v="1963"/>
    <x v="1"/>
    <s v="Single"/>
    <n v="46757"/>
    <n v="0"/>
    <n v="1"/>
    <d v="2012-11-16T00:00:00"/>
    <n v="71"/>
    <n v="777"/>
    <n v="30"/>
    <n v="163"/>
    <n v="0"/>
    <n v="51"/>
    <n v="122"/>
    <n v="6"/>
    <n v="4"/>
    <n v="4"/>
    <n v="7"/>
    <n v="9"/>
    <x v="0"/>
    <x v="0"/>
    <x v="0"/>
    <x v="0"/>
    <x v="0"/>
    <n v="0"/>
    <n v="3"/>
    <n v="11"/>
    <x v="1"/>
  </r>
  <r>
    <n v="8093"/>
    <n v="1969"/>
    <x v="2"/>
    <s v="Married"/>
    <n v="79734"/>
    <n v="0"/>
    <n v="0"/>
    <d v="2014-06-28T00:00:00"/>
    <n v="72"/>
    <n v="572"/>
    <n v="8"/>
    <n v="232"/>
    <n v="23"/>
    <n v="62"/>
    <n v="17"/>
    <n v="1"/>
    <n v="4"/>
    <n v="3"/>
    <n v="6"/>
    <n v="1"/>
    <x v="0"/>
    <x v="0"/>
    <x v="0"/>
    <x v="1"/>
    <x v="0"/>
    <n v="0"/>
    <n v="3"/>
    <n v="11"/>
    <x v="1"/>
  </r>
  <r>
    <n v="10513"/>
    <n v="1992"/>
    <x v="0"/>
    <s v="Together"/>
    <n v="63207"/>
    <n v="0"/>
    <n v="0"/>
    <d v="2013-01-20T00:00:00"/>
    <n v="68"/>
    <n v="438"/>
    <n v="169"/>
    <n v="565"/>
    <n v="91"/>
    <n v="169"/>
    <n v="70"/>
    <n v="1"/>
    <n v="2"/>
    <n v="3"/>
    <n v="6"/>
    <n v="7"/>
    <x v="0"/>
    <x v="0"/>
    <x v="0"/>
    <x v="1"/>
    <x v="0"/>
    <n v="0"/>
    <n v="3"/>
    <n v="11"/>
    <x v="1"/>
  </r>
  <r>
    <n v="10177"/>
    <n v="1954"/>
    <x v="0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x v="0"/>
    <x v="0"/>
    <x v="0"/>
    <x v="0"/>
    <x v="0"/>
    <n v="0"/>
    <n v="3"/>
    <n v="11"/>
    <x v="1"/>
  </r>
  <r>
    <n v="2549"/>
    <n v="1983"/>
    <x v="1"/>
    <s v="Together"/>
    <n v="21840"/>
    <n v="1"/>
    <n v="0"/>
    <d v="2013-07-21T00:00:00"/>
    <n v="80"/>
    <n v="17"/>
    <n v="0"/>
    <n v="9"/>
    <n v="0"/>
    <n v="0"/>
    <n v="1"/>
    <n v="1"/>
    <n v="1"/>
    <n v="0"/>
    <n v="3"/>
    <n v="9"/>
    <x v="0"/>
    <x v="0"/>
    <x v="0"/>
    <x v="0"/>
    <x v="0"/>
    <n v="0"/>
    <n v="3"/>
    <n v="11"/>
    <x v="1"/>
  </r>
  <r>
    <n v="5782"/>
    <n v="1982"/>
    <x v="4"/>
    <s v="Together"/>
    <n v="58582"/>
    <n v="0"/>
    <n v="1"/>
    <d v="2013-09-28T00:00:00"/>
    <n v="15"/>
    <n v="402"/>
    <n v="35"/>
    <n v="106"/>
    <n v="101"/>
    <n v="77"/>
    <n v="42"/>
    <n v="2"/>
    <n v="9"/>
    <n v="2"/>
    <n v="9"/>
    <n v="5"/>
    <x v="0"/>
    <x v="1"/>
    <x v="0"/>
    <x v="0"/>
    <x v="0"/>
    <n v="0"/>
    <n v="3"/>
    <n v="11"/>
    <x v="1"/>
  </r>
  <r>
    <n v="10057"/>
    <n v="1951"/>
    <x v="0"/>
    <s v="Single"/>
    <n v="72282"/>
    <n v="0"/>
    <n v="0"/>
    <d v="2013-07-19T00:00:00"/>
    <n v="70"/>
    <n v="503"/>
    <n v="27"/>
    <n v="419"/>
    <n v="90"/>
    <n v="139"/>
    <n v="153"/>
    <n v="1"/>
    <n v="5"/>
    <n v="7"/>
    <n v="9"/>
    <n v="7"/>
    <x v="0"/>
    <x v="0"/>
    <x v="0"/>
    <x v="0"/>
    <x v="0"/>
    <n v="0"/>
    <n v="3"/>
    <n v="11"/>
    <x v="0"/>
  </r>
  <r>
    <n v="10307"/>
    <n v="1956"/>
    <x v="0"/>
    <s v="Married"/>
    <n v="50387"/>
    <n v="0"/>
    <n v="2"/>
    <d v="2013-08-31T00:00:00"/>
    <n v="91"/>
    <n v="369"/>
    <n v="9"/>
    <n v="87"/>
    <n v="12"/>
    <n v="14"/>
    <n v="34"/>
    <n v="3"/>
    <n v="6"/>
    <n v="2"/>
    <n v="8"/>
    <n v="5"/>
    <x v="0"/>
    <x v="0"/>
    <x v="0"/>
    <x v="0"/>
    <x v="0"/>
    <n v="0"/>
    <n v="3"/>
    <n v="11"/>
    <x v="1"/>
  </r>
  <r>
    <n v="8566"/>
    <n v="1961"/>
    <x v="1"/>
    <s v="Together"/>
    <n v="32583"/>
    <n v="1"/>
    <n v="1"/>
    <d v="2014-06-15T00:00:00"/>
    <n v="10"/>
    <n v="5"/>
    <n v="0"/>
    <n v="3"/>
    <n v="0"/>
    <n v="0"/>
    <n v="1"/>
    <n v="1"/>
    <n v="1"/>
    <n v="0"/>
    <n v="2"/>
    <n v="7"/>
    <x v="0"/>
    <x v="0"/>
    <x v="0"/>
    <x v="0"/>
    <x v="0"/>
    <n v="0"/>
    <n v="3"/>
    <n v="11"/>
    <x v="1"/>
  </r>
  <r>
    <n v="2415"/>
    <n v="1962"/>
    <x v="0"/>
    <s v="Together"/>
    <n v="62568"/>
    <n v="0"/>
    <n v="1"/>
    <d v="2014-04-07T00:00:00"/>
    <n v="99"/>
    <n v="362"/>
    <n v="17"/>
    <n v="398"/>
    <n v="80"/>
    <n v="35"/>
    <n v="61"/>
    <n v="3"/>
    <n v="5"/>
    <n v="3"/>
    <n v="5"/>
    <n v="4"/>
    <x v="0"/>
    <x v="0"/>
    <x v="0"/>
    <x v="1"/>
    <x v="0"/>
    <n v="0"/>
    <n v="3"/>
    <n v="11"/>
    <x v="1"/>
  </r>
  <r>
    <n v="5684"/>
    <n v="1971"/>
    <x v="2"/>
    <s v="Divorced"/>
    <n v="44635"/>
    <n v="1"/>
    <n v="1"/>
    <d v="2013-10-11T00:00:00"/>
    <n v="25"/>
    <n v="56"/>
    <n v="0"/>
    <n v="9"/>
    <n v="0"/>
    <n v="0"/>
    <n v="3"/>
    <n v="2"/>
    <n v="2"/>
    <n v="0"/>
    <n v="3"/>
    <n v="7"/>
    <x v="0"/>
    <x v="0"/>
    <x v="0"/>
    <x v="0"/>
    <x v="0"/>
    <n v="0"/>
    <n v="3"/>
    <n v="11"/>
    <x v="1"/>
  </r>
  <r>
    <n v="8334"/>
    <n v="1971"/>
    <x v="2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x v="0"/>
    <x v="0"/>
    <x v="0"/>
    <x v="0"/>
    <x v="0"/>
    <n v="0"/>
    <n v="3"/>
    <n v="11"/>
    <x v="1"/>
  </r>
  <r>
    <n v="9166"/>
    <n v="1968"/>
    <x v="0"/>
    <s v="Married"/>
    <n v="63967"/>
    <n v="0"/>
    <n v="1"/>
    <d v="2013-08-09T00:00:00"/>
    <n v="57"/>
    <n v="387"/>
    <n v="84"/>
    <n v="141"/>
    <n v="73"/>
    <n v="35"/>
    <n v="162"/>
    <n v="3"/>
    <n v="4"/>
    <n v="4"/>
    <n v="12"/>
    <n v="2"/>
    <x v="0"/>
    <x v="0"/>
    <x v="0"/>
    <x v="0"/>
    <x v="0"/>
    <n v="0"/>
    <n v="3"/>
    <n v="11"/>
    <x v="1"/>
  </r>
  <r>
    <n v="1440"/>
    <n v="1978"/>
    <x v="4"/>
    <s v="Together"/>
    <n v="52513"/>
    <n v="0"/>
    <n v="0"/>
    <d v="2012-09-04T00:00:00"/>
    <n v="84"/>
    <n v="367"/>
    <n v="17"/>
    <n v="241"/>
    <n v="104"/>
    <n v="188"/>
    <n v="232"/>
    <n v="2"/>
    <n v="9"/>
    <n v="5"/>
    <n v="9"/>
    <n v="7"/>
    <x v="0"/>
    <x v="0"/>
    <x v="0"/>
    <x v="0"/>
    <x v="0"/>
    <n v="0"/>
    <n v="3"/>
    <n v="11"/>
    <x v="1"/>
  </r>
  <r>
    <n v="78"/>
    <n v="1969"/>
    <x v="0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x v="0"/>
    <x v="0"/>
    <x v="0"/>
    <x v="0"/>
    <x v="0"/>
    <n v="0"/>
    <n v="3"/>
    <n v="11"/>
    <x v="1"/>
  </r>
  <r>
    <n v="5441"/>
    <n v="1965"/>
    <x v="1"/>
    <s v="Widow"/>
    <n v="54111"/>
    <n v="0"/>
    <n v="1"/>
    <d v="2013-08-25T00:00:00"/>
    <n v="97"/>
    <n v="267"/>
    <n v="6"/>
    <n v="54"/>
    <n v="8"/>
    <n v="3"/>
    <n v="50"/>
    <n v="2"/>
    <n v="5"/>
    <n v="2"/>
    <n v="6"/>
    <n v="5"/>
    <x v="0"/>
    <x v="0"/>
    <x v="0"/>
    <x v="0"/>
    <x v="0"/>
    <n v="0"/>
    <n v="3"/>
    <n v="11"/>
    <x v="1"/>
  </r>
  <r>
    <n v="5302"/>
    <n v="1986"/>
    <x v="0"/>
    <s v="Together"/>
    <n v="78394"/>
    <n v="0"/>
    <n v="0"/>
    <d v="2013-02-15T00:00:00"/>
    <n v="13"/>
    <n v="298"/>
    <n v="27"/>
    <n v="697"/>
    <n v="216"/>
    <n v="24"/>
    <n v="166"/>
    <n v="1"/>
    <n v="4"/>
    <n v="6"/>
    <n v="5"/>
    <n v="2"/>
    <x v="0"/>
    <x v="0"/>
    <x v="0"/>
    <x v="0"/>
    <x v="0"/>
    <n v="0"/>
    <n v="3"/>
    <n v="11"/>
    <x v="0"/>
  </r>
  <r>
    <n v="4687"/>
    <n v="1958"/>
    <x v="2"/>
    <s v="Married"/>
    <n v="80739"/>
    <n v="0"/>
    <n v="0"/>
    <d v="2013-05-23T00:00:00"/>
    <n v="92"/>
    <n v="674"/>
    <n v="92"/>
    <n v="736"/>
    <n v="39"/>
    <n v="0"/>
    <n v="92"/>
    <n v="1"/>
    <n v="3"/>
    <n v="11"/>
    <n v="9"/>
    <n v="1"/>
    <x v="0"/>
    <x v="0"/>
    <x v="0"/>
    <x v="0"/>
    <x v="0"/>
    <n v="0"/>
    <n v="3"/>
    <n v="11"/>
    <x v="1"/>
  </r>
  <r>
    <n v="1087"/>
    <n v="1975"/>
    <x v="2"/>
    <s v="Together"/>
    <n v="22669"/>
    <n v="1"/>
    <n v="0"/>
    <d v="2013-05-22T00:00:00"/>
    <n v="30"/>
    <n v="16"/>
    <n v="14"/>
    <n v="36"/>
    <n v="37"/>
    <n v="22"/>
    <n v="48"/>
    <n v="3"/>
    <n v="4"/>
    <n v="1"/>
    <n v="2"/>
    <n v="9"/>
    <x v="0"/>
    <x v="0"/>
    <x v="0"/>
    <x v="0"/>
    <x v="0"/>
    <n v="0"/>
    <n v="3"/>
    <n v="11"/>
    <x v="0"/>
  </r>
  <r>
    <n v="6859"/>
    <n v="1987"/>
    <x v="0"/>
    <s v="Single"/>
    <n v="29236"/>
    <n v="1"/>
    <n v="0"/>
    <d v="2013-10-08T00:00:00"/>
    <n v="30"/>
    <n v="37"/>
    <n v="4"/>
    <n v="24"/>
    <n v="16"/>
    <n v="9"/>
    <n v="9"/>
    <n v="2"/>
    <n v="4"/>
    <n v="0"/>
    <n v="3"/>
    <n v="9"/>
    <x v="0"/>
    <x v="0"/>
    <x v="0"/>
    <x v="0"/>
    <x v="0"/>
    <n v="0"/>
    <n v="3"/>
    <n v="11"/>
    <x v="1"/>
  </r>
  <r>
    <n v="9860"/>
    <n v="1959"/>
    <x v="0"/>
    <s v="Together"/>
    <n v="44911"/>
    <n v="0"/>
    <n v="1"/>
    <d v="2013-03-15T00:00:00"/>
    <n v="11"/>
    <n v="159"/>
    <n v="0"/>
    <n v="22"/>
    <n v="2"/>
    <n v="1"/>
    <n v="31"/>
    <n v="3"/>
    <n v="4"/>
    <n v="1"/>
    <n v="4"/>
    <n v="7"/>
    <x v="0"/>
    <x v="0"/>
    <x v="0"/>
    <x v="0"/>
    <x v="0"/>
    <n v="0"/>
    <n v="3"/>
    <n v="11"/>
    <x v="1"/>
  </r>
  <r>
    <n v="7129"/>
    <n v="1962"/>
    <x v="1"/>
    <s v="Married"/>
    <n v="54693"/>
    <n v="0"/>
    <n v="1"/>
    <d v="2013-02-17T00:00:00"/>
    <n v="72"/>
    <n v="686"/>
    <n v="17"/>
    <n v="142"/>
    <n v="23"/>
    <n v="26"/>
    <n v="35"/>
    <n v="8"/>
    <n v="6"/>
    <n v="4"/>
    <n v="13"/>
    <n v="6"/>
    <x v="0"/>
    <x v="0"/>
    <x v="0"/>
    <x v="0"/>
    <x v="0"/>
    <n v="0"/>
    <n v="3"/>
    <n v="11"/>
    <x v="1"/>
  </r>
  <r>
    <n v="5866"/>
    <n v="1974"/>
    <x v="0"/>
    <s v="Together"/>
    <n v="48186"/>
    <n v="1"/>
    <n v="0"/>
    <d v="2014-03-20T00:00:00"/>
    <n v="39"/>
    <n v="97"/>
    <n v="3"/>
    <n v="66"/>
    <n v="12"/>
    <n v="7"/>
    <n v="34"/>
    <n v="3"/>
    <n v="4"/>
    <n v="1"/>
    <n v="4"/>
    <n v="7"/>
    <x v="0"/>
    <x v="0"/>
    <x v="0"/>
    <x v="0"/>
    <x v="0"/>
    <n v="0"/>
    <n v="3"/>
    <n v="11"/>
    <x v="1"/>
  </r>
  <r>
    <n v="10521"/>
    <n v="1977"/>
    <x v="0"/>
    <s v="Married"/>
    <n v="54809"/>
    <n v="1"/>
    <n v="1"/>
    <d v="2013-09-11T00:00:00"/>
    <n v="0"/>
    <n v="63"/>
    <n v="6"/>
    <n v="57"/>
    <n v="13"/>
    <n v="13"/>
    <n v="22"/>
    <n v="4"/>
    <n v="2"/>
    <n v="1"/>
    <n v="5"/>
    <n v="4"/>
    <x v="0"/>
    <x v="0"/>
    <x v="0"/>
    <x v="0"/>
    <x v="0"/>
    <n v="0"/>
    <n v="3"/>
    <n v="11"/>
    <x v="0"/>
  </r>
  <r>
    <n v="7393"/>
    <n v="1978"/>
    <x v="0"/>
    <s v="Together"/>
    <n v="41580"/>
    <n v="1"/>
    <n v="1"/>
    <d v="2012-12-10T00:00:00"/>
    <n v="15"/>
    <n v="56"/>
    <n v="5"/>
    <n v="24"/>
    <n v="4"/>
    <n v="0"/>
    <n v="3"/>
    <n v="3"/>
    <n v="2"/>
    <n v="1"/>
    <n v="3"/>
    <n v="5"/>
    <x v="0"/>
    <x v="0"/>
    <x v="0"/>
    <x v="0"/>
    <x v="0"/>
    <n v="0"/>
    <n v="3"/>
    <n v="11"/>
    <x v="1"/>
  </r>
  <r>
    <n v="7849"/>
    <n v="1970"/>
    <x v="1"/>
    <s v="Married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x v="0"/>
    <x v="0"/>
    <x v="0"/>
    <x v="0"/>
    <x v="0"/>
    <n v="0"/>
    <n v="3"/>
    <n v="11"/>
    <x v="1"/>
  </r>
  <r>
    <n v="332"/>
    <n v="1957"/>
    <x v="0"/>
    <s v="Married"/>
    <n v="47743"/>
    <n v="0"/>
    <n v="1"/>
    <d v="2013-03-22T00:00:00"/>
    <n v="56"/>
    <n v="198"/>
    <n v="2"/>
    <n v="43"/>
    <n v="0"/>
    <n v="12"/>
    <n v="20"/>
    <n v="3"/>
    <n v="4"/>
    <n v="1"/>
    <n v="6"/>
    <n v="6"/>
    <x v="0"/>
    <x v="1"/>
    <x v="0"/>
    <x v="0"/>
    <x v="0"/>
    <n v="0"/>
    <n v="3"/>
    <n v="11"/>
    <x v="1"/>
  </r>
  <r>
    <n v="9847"/>
    <n v="1955"/>
    <x v="4"/>
    <s v="Married"/>
    <n v="62972"/>
    <n v="0"/>
    <n v="1"/>
    <d v="2012-08-03T00:00:00"/>
    <n v="39"/>
    <n v="313"/>
    <n v="15"/>
    <n v="47"/>
    <n v="20"/>
    <n v="0"/>
    <n v="192"/>
    <n v="2"/>
    <n v="7"/>
    <n v="4"/>
    <n v="3"/>
    <n v="6"/>
    <x v="0"/>
    <x v="0"/>
    <x v="0"/>
    <x v="0"/>
    <x v="0"/>
    <n v="0"/>
    <n v="3"/>
    <n v="11"/>
    <x v="1"/>
  </r>
  <r>
    <n v="531"/>
    <n v="1954"/>
    <x v="1"/>
    <s v="Divorced"/>
    <n v="57333"/>
    <n v="0"/>
    <n v="1"/>
    <d v="2012-09-22T00:00:00"/>
    <n v="55"/>
    <n v="941"/>
    <n v="14"/>
    <n v="397"/>
    <n v="76"/>
    <n v="58"/>
    <n v="176"/>
    <n v="11"/>
    <n v="8"/>
    <n v="5"/>
    <n v="9"/>
    <n v="6"/>
    <x v="0"/>
    <x v="0"/>
    <x v="0"/>
    <x v="0"/>
    <x v="0"/>
    <n v="0"/>
    <n v="3"/>
    <n v="11"/>
    <x v="0"/>
  </r>
  <r>
    <n v="9576"/>
    <n v="1982"/>
    <x v="1"/>
    <s v="Together"/>
    <n v="32313"/>
    <n v="1"/>
    <n v="0"/>
    <d v="2013-02-11T00:00:00"/>
    <n v="60"/>
    <n v="86"/>
    <n v="4"/>
    <n v="56"/>
    <n v="2"/>
    <n v="4"/>
    <n v="7"/>
    <n v="3"/>
    <n v="4"/>
    <n v="0"/>
    <n v="4"/>
    <n v="9"/>
    <x v="0"/>
    <x v="0"/>
    <x v="0"/>
    <x v="0"/>
    <x v="0"/>
    <n v="0"/>
    <n v="3"/>
    <n v="11"/>
    <x v="1"/>
  </r>
  <r>
    <n v="6906"/>
    <n v="1953"/>
    <x v="2"/>
    <s v="Widow"/>
    <n v="84953"/>
    <n v="0"/>
    <n v="0"/>
    <d v="2013-06-03T00:00:00"/>
    <n v="73"/>
    <n v="167"/>
    <n v="48"/>
    <n v="602"/>
    <n v="63"/>
    <n v="72"/>
    <n v="72"/>
    <n v="1"/>
    <n v="3"/>
    <n v="10"/>
    <n v="4"/>
    <n v="2"/>
    <x v="0"/>
    <x v="1"/>
    <x v="1"/>
    <x v="1"/>
    <x v="0"/>
    <n v="0"/>
    <n v="3"/>
    <n v="11"/>
    <x v="0"/>
  </r>
  <r>
    <n v="7419"/>
    <n v="1968"/>
    <x v="2"/>
    <s v="Divorced"/>
    <n v="27071"/>
    <n v="1"/>
    <n v="0"/>
    <d v="2014-04-23T00:00:00"/>
    <n v="90"/>
    <n v="8"/>
    <n v="3"/>
    <n v="19"/>
    <n v="0"/>
    <n v="2"/>
    <n v="3"/>
    <n v="2"/>
    <n v="2"/>
    <n v="0"/>
    <n v="3"/>
    <n v="6"/>
    <x v="0"/>
    <x v="0"/>
    <x v="0"/>
    <x v="0"/>
    <x v="0"/>
    <n v="0"/>
    <n v="3"/>
    <n v="11"/>
    <x v="1"/>
  </r>
  <r>
    <n v="3170"/>
    <n v="1957"/>
    <x v="2"/>
    <s v="Together"/>
    <n v="68148"/>
    <n v="0"/>
    <n v="0"/>
    <d v="2013-08-31T00:00:00"/>
    <n v="86"/>
    <n v="389"/>
    <n v="66"/>
    <n v="408"/>
    <n v="37"/>
    <n v="57"/>
    <n v="85"/>
    <n v="1"/>
    <n v="4"/>
    <n v="4"/>
    <n v="6"/>
    <n v="2"/>
    <x v="0"/>
    <x v="0"/>
    <x v="0"/>
    <x v="0"/>
    <x v="0"/>
    <n v="0"/>
    <n v="3"/>
    <n v="11"/>
    <x v="1"/>
  </r>
  <r>
    <n v="8527"/>
    <n v="1965"/>
    <x v="2"/>
    <s v="Together"/>
    <n v="65735"/>
    <n v="1"/>
    <n v="1"/>
    <d v="2013-12-07T00:00:00"/>
    <n v="37"/>
    <n v="239"/>
    <n v="7"/>
    <n v="119"/>
    <n v="4"/>
    <n v="15"/>
    <n v="11"/>
    <n v="5"/>
    <n v="6"/>
    <n v="2"/>
    <n v="6"/>
    <n v="7"/>
    <x v="0"/>
    <x v="0"/>
    <x v="0"/>
    <x v="0"/>
    <x v="0"/>
    <n v="0"/>
    <n v="3"/>
    <n v="11"/>
    <x v="1"/>
  </r>
  <r>
    <n v="7872"/>
    <n v="1975"/>
    <x v="1"/>
    <s v="Married"/>
    <n v="86836"/>
    <n v="0"/>
    <n v="0"/>
    <d v="2012-09-12T00:00:00"/>
    <n v="7"/>
    <n v="179"/>
    <n v="21"/>
    <n v="273"/>
    <n v="0"/>
    <n v="21"/>
    <n v="63"/>
    <n v="1"/>
    <n v="6"/>
    <n v="10"/>
    <n v="6"/>
    <n v="5"/>
    <x v="1"/>
    <x v="0"/>
    <x v="1"/>
    <x v="1"/>
    <x v="0"/>
    <n v="0"/>
    <n v="3"/>
    <n v="11"/>
    <x v="0"/>
  </r>
  <r>
    <n v="9931"/>
    <n v="1963"/>
    <x v="1"/>
    <s v="Married"/>
    <n v="4023"/>
    <n v="1"/>
    <n v="1"/>
    <d v="2014-06-23T00:00:00"/>
    <n v="29"/>
    <n v="5"/>
    <n v="0"/>
    <n v="1"/>
    <n v="1"/>
    <n v="1"/>
    <n v="1"/>
    <n v="15"/>
    <n v="0"/>
    <n v="0"/>
    <n v="0"/>
    <n v="19"/>
    <x v="0"/>
    <x v="0"/>
    <x v="0"/>
    <x v="0"/>
    <x v="0"/>
    <n v="0"/>
    <n v="3"/>
    <n v="11"/>
    <x v="1"/>
  </r>
  <r>
    <n v="10595"/>
    <n v="1990"/>
    <x v="0"/>
    <s v="Married"/>
    <n v="30093"/>
    <n v="0"/>
    <n v="0"/>
    <d v="2013-07-08T00:00:00"/>
    <n v="19"/>
    <n v="2"/>
    <n v="6"/>
    <n v="28"/>
    <n v="13"/>
    <n v="4"/>
    <n v="16"/>
    <n v="1"/>
    <n v="2"/>
    <n v="0"/>
    <n v="3"/>
    <n v="7"/>
    <x v="0"/>
    <x v="0"/>
    <x v="0"/>
    <x v="0"/>
    <x v="0"/>
    <n v="0"/>
    <n v="3"/>
    <n v="11"/>
    <x v="1"/>
  </r>
  <r>
    <n v="4609"/>
    <n v="1966"/>
    <x v="1"/>
    <s v="Married"/>
    <n v="57705"/>
    <n v="0"/>
    <n v="1"/>
    <d v="2014-01-11T00:00:00"/>
    <n v="14"/>
    <n v="383"/>
    <n v="0"/>
    <n v="53"/>
    <n v="6"/>
    <n v="4"/>
    <n v="40"/>
    <n v="3"/>
    <n v="8"/>
    <n v="1"/>
    <n v="6"/>
    <n v="6"/>
    <x v="0"/>
    <x v="0"/>
    <x v="0"/>
    <x v="0"/>
    <x v="0"/>
    <n v="0"/>
    <n v="3"/>
    <n v="11"/>
    <x v="1"/>
  </r>
  <r>
    <n v="5010"/>
    <n v="1988"/>
    <x v="0"/>
    <s v="Single"/>
    <n v="25008"/>
    <n v="1"/>
    <n v="0"/>
    <d v="2014-02-02T00:00:00"/>
    <n v="72"/>
    <n v="2"/>
    <n v="8"/>
    <n v="8"/>
    <n v="6"/>
    <n v="1"/>
    <n v="9"/>
    <n v="2"/>
    <n v="1"/>
    <n v="0"/>
    <n v="3"/>
    <n v="8"/>
    <x v="0"/>
    <x v="0"/>
    <x v="0"/>
    <x v="0"/>
    <x v="0"/>
    <n v="0"/>
    <n v="3"/>
    <n v="11"/>
    <x v="1"/>
  </r>
  <r>
    <n v="4427"/>
    <n v="1995"/>
    <x v="4"/>
    <s v="Single"/>
    <n v="83257"/>
    <n v="0"/>
    <n v="0"/>
    <d v="2012-09-18T00:00:00"/>
    <n v="56"/>
    <n v="536"/>
    <n v="27"/>
    <n v="590"/>
    <n v="38"/>
    <n v="107"/>
    <n v="67"/>
    <n v="1"/>
    <n v="5"/>
    <n v="10"/>
    <n v="12"/>
    <n v="6"/>
    <x v="1"/>
    <x v="0"/>
    <x v="1"/>
    <x v="0"/>
    <x v="0"/>
    <n v="1"/>
    <n v="3"/>
    <n v="11"/>
    <x v="0"/>
  </r>
  <r>
    <n v="11148"/>
    <n v="1975"/>
    <x v="0"/>
    <s v="Together"/>
    <n v="22280"/>
    <n v="1"/>
    <n v="0"/>
    <d v="2013-05-19T00:00:00"/>
    <n v="85"/>
    <n v="2"/>
    <n v="1"/>
    <n v="4"/>
    <n v="3"/>
    <n v="1"/>
    <n v="2"/>
    <n v="1"/>
    <n v="1"/>
    <n v="0"/>
    <n v="2"/>
    <n v="8"/>
    <x v="0"/>
    <x v="0"/>
    <x v="0"/>
    <x v="0"/>
    <x v="0"/>
    <n v="0"/>
    <n v="3"/>
    <n v="11"/>
    <x v="1"/>
  </r>
  <r>
    <n v="1168"/>
    <n v="1978"/>
    <x v="1"/>
    <s v="Married"/>
    <n v="72159"/>
    <n v="0"/>
    <n v="0"/>
    <d v="2012-10-29T00:00:00"/>
    <n v="62"/>
    <n v="322"/>
    <n v="53"/>
    <n v="899"/>
    <n v="34"/>
    <n v="40"/>
    <n v="53"/>
    <n v="1"/>
    <n v="4"/>
    <n v="6"/>
    <n v="10"/>
    <n v="2"/>
    <x v="0"/>
    <x v="0"/>
    <x v="0"/>
    <x v="0"/>
    <x v="0"/>
    <n v="0"/>
    <n v="3"/>
    <n v="11"/>
    <x v="1"/>
  </r>
  <r>
    <n v="9595"/>
    <n v="1961"/>
    <x v="0"/>
    <s v="Together"/>
    <n v="64260"/>
    <n v="0"/>
    <n v="0"/>
    <d v="2013-01-11T00:00:00"/>
    <n v="1"/>
    <n v="539"/>
    <n v="169"/>
    <n v="816"/>
    <n v="20"/>
    <n v="0"/>
    <n v="30"/>
    <n v="1"/>
    <n v="4"/>
    <n v="5"/>
    <n v="4"/>
    <n v="3"/>
    <x v="0"/>
    <x v="0"/>
    <x v="0"/>
    <x v="0"/>
    <x v="0"/>
    <n v="0"/>
    <n v="3"/>
    <n v="11"/>
    <x v="0"/>
  </r>
  <r>
    <n v="10163"/>
    <n v="1984"/>
    <x v="1"/>
    <s v="Single"/>
    <n v="82733"/>
    <n v="0"/>
    <n v="0"/>
    <d v="2013-09-10T00:00:00"/>
    <n v="28"/>
    <n v="712"/>
    <n v="50"/>
    <n v="420"/>
    <n v="65"/>
    <n v="38"/>
    <n v="38"/>
    <n v="1"/>
    <n v="8"/>
    <n v="4"/>
    <n v="7"/>
    <n v="4"/>
    <x v="0"/>
    <x v="0"/>
    <x v="0"/>
    <x v="0"/>
    <x v="0"/>
    <n v="0"/>
    <n v="3"/>
    <n v="11"/>
    <x v="0"/>
  </r>
  <r>
    <n v="2886"/>
    <n v="1971"/>
    <x v="2"/>
    <s v="Divorced"/>
    <n v="74290"/>
    <n v="0"/>
    <n v="1"/>
    <d v="2013-08-12T00:00:00"/>
    <n v="70"/>
    <n v="1121"/>
    <n v="0"/>
    <n v="72"/>
    <n v="0"/>
    <n v="12"/>
    <n v="12"/>
    <n v="4"/>
    <n v="10"/>
    <n v="8"/>
    <n v="10"/>
    <n v="6"/>
    <x v="0"/>
    <x v="1"/>
    <x v="0"/>
    <x v="1"/>
    <x v="0"/>
    <n v="0"/>
    <n v="3"/>
    <n v="11"/>
    <x v="1"/>
  </r>
  <r>
    <n v="6710"/>
    <n v="1951"/>
    <x v="2"/>
    <s v="Single"/>
    <n v="58217"/>
    <n v="2"/>
    <n v="1"/>
    <d v="2012-11-17T00:00:00"/>
    <n v="84"/>
    <n v="68"/>
    <n v="1"/>
    <n v="13"/>
    <n v="3"/>
    <n v="5"/>
    <n v="13"/>
    <n v="1"/>
    <n v="2"/>
    <n v="0"/>
    <n v="4"/>
    <n v="6"/>
    <x v="0"/>
    <x v="0"/>
    <x v="0"/>
    <x v="0"/>
    <x v="0"/>
    <n v="0"/>
    <n v="3"/>
    <n v="11"/>
    <x v="1"/>
  </r>
  <r>
    <n v="5316"/>
    <n v="1976"/>
    <x v="2"/>
    <s v="Together"/>
    <n v="21024"/>
    <n v="0"/>
    <n v="0"/>
    <d v="2013-07-04T00:00:00"/>
    <n v="89"/>
    <n v="36"/>
    <n v="4"/>
    <n v="18"/>
    <n v="6"/>
    <n v="2"/>
    <n v="18"/>
    <n v="1"/>
    <n v="2"/>
    <n v="0"/>
    <n v="4"/>
    <n v="7"/>
    <x v="0"/>
    <x v="0"/>
    <x v="0"/>
    <x v="0"/>
    <x v="0"/>
    <n v="0"/>
    <n v="3"/>
    <n v="11"/>
    <x v="1"/>
  </r>
  <r>
    <n v="9029"/>
    <n v="1972"/>
    <x v="1"/>
    <s v="Married"/>
    <n v="70116"/>
    <n v="0"/>
    <n v="0"/>
    <d v="2013-01-26T00:00:00"/>
    <n v="73"/>
    <n v="707"/>
    <n v="44"/>
    <n v="603"/>
    <n v="95"/>
    <n v="58"/>
    <n v="29"/>
    <n v="1"/>
    <n v="2"/>
    <n v="8"/>
    <n v="12"/>
    <n v="1"/>
    <x v="0"/>
    <x v="0"/>
    <x v="0"/>
    <x v="0"/>
    <x v="0"/>
    <n v="0"/>
    <n v="3"/>
    <n v="11"/>
    <x v="1"/>
  </r>
  <r>
    <n v="521"/>
    <n v="1985"/>
    <x v="0"/>
    <s v="Together"/>
    <n v="54006"/>
    <n v="1"/>
    <n v="0"/>
    <d v="2012-09-18T00:00:00"/>
    <n v="42"/>
    <n v="174"/>
    <n v="77"/>
    <n v="203"/>
    <n v="6"/>
    <n v="24"/>
    <n v="97"/>
    <n v="2"/>
    <n v="8"/>
    <n v="1"/>
    <n v="7"/>
    <n v="7"/>
    <x v="0"/>
    <x v="0"/>
    <x v="0"/>
    <x v="0"/>
    <x v="0"/>
    <n v="0"/>
    <n v="3"/>
    <n v="11"/>
    <x v="1"/>
  </r>
  <r>
    <n v="1459"/>
    <n v="1966"/>
    <x v="1"/>
    <s v="Married"/>
    <n v="69063"/>
    <n v="0"/>
    <n v="1"/>
    <d v="2012-11-07T00:00:00"/>
    <n v="16"/>
    <n v="666"/>
    <n v="35"/>
    <n v="124"/>
    <n v="69"/>
    <n v="8"/>
    <n v="26"/>
    <n v="1"/>
    <n v="5"/>
    <n v="3"/>
    <n v="5"/>
    <n v="3"/>
    <x v="0"/>
    <x v="0"/>
    <x v="0"/>
    <x v="0"/>
    <x v="0"/>
    <n v="0"/>
    <n v="3"/>
    <n v="11"/>
    <x v="1"/>
  </r>
  <r>
    <n v="10241"/>
    <n v="1975"/>
    <x v="4"/>
    <s v="Divorced"/>
    <n v="11448"/>
    <n v="0"/>
    <n v="0"/>
    <d v="2013-12-15T00:00:00"/>
    <n v="16"/>
    <n v="0"/>
    <n v="0"/>
    <n v="0"/>
    <n v="6"/>
    <n v="2"/>
    <n v="6"/>
    <n v="1"/>
    <n v="1"/>
    <n v="0"/>
    <n v="2"/>
    <n v="6"/>
    <x v="0"/>
    <x v="0"/>
    <x v="0"/>
    <x v="0"/>
    <x v="0"/>
    <n v="0"/>
    <n v="3"/>
    <n v="11"/>
    <x v="1"/>
  </r>
  <r>
    <n v="1630"/>
    <n v="1979"/>
    <x v="0"/>
    <s v="Single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x v="0"/>
    <x v="0"/>
    <x v="0"/>
    <x v="0"/>
    <x v="0"/>
    <n v="0"/>
    <n v="3"/>
    <n v="11"/>
    <x v="1"/>
  </r>
  <r>
    <n v="3254"/>
    <n v="1971"/>
    <x v="0"/>
    <s v="Married"/>
    <n v="70886"/>
    <n v="1"/>
    <n v="0"/>
    <d v="2013-10-14T00:00:00"/>
    <n v="65"/>
    <n v="407"/>
    <n v="70"/>
    <n v="239"/>
    <n v="103"/>
    <n v="88"/>
    <n v="53"/>
    <n v="1"/>
    <n v="5"/>
    <n v="4"/>
    <n v="4"/>
    <n v="2"/>
    <x v="0"/>
    <x v="0"/>
    <x v="0"/>
    <x v="0"/>
    <x v="0"/>
    <n v="0"/>
    <n v="3"/>
    <n v="11"/>
    <x v="1"/>
  </r>
  <r>
    <n v="9064"/>
    <n v="1982"/>
    <x v="0"/>
    <s v="Married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x v="0"/>
    <x v="0"/>
    <x v="1"/>
    <x v="0"/>
    <x v="0"/>
    <n v="0"/>
    <n v="3"/>
    <n v="11"/>
    <x v="0"/>
  </r>
  <r>
    <n v="3678"/>
    <n v="1973"/>
    <x v="0"/>
    <s v="Widow"/>
    <n v="60208"/>
    <n v="1"/>
    <n v="1"/>
    <d v="2012-10-07T00:00:00"/>
    <n v="13"/>
    <n v="488"/>
    <n v="23"/>
    <n v="71"/>
    <n v="15"/>
    <n v="0"/>
    <n v="59"/>
    <n v="11"/>
    <n v="8"/>
    <n v="3"/>
    <n v="7"/>
    <n v="7"/>
    <x v="0"/>
    <x v="1"/>
    <x v="0"/>
    <x v="0"/>
    <x v="0"/>
    <n v="0"/>
    <n v="3"/>
    <n v="11"/>
    <x v="0"/>
  </r>
  <r>
    <n v="4227"/>
    <n v="1968"/>
    <x v="2"/>
    <s v="Together"/>
    <n v="32889"/>
    <n v="1"/>
    <n v="1"/>
    <d v="2013-09-06T00:00:00"/>
    <n v="78"/>
    <n v="28"/>
    <n v="0"/>
    <n v="13"/>
    <n v="4"/>
    <n v="2"/>
    <n v="8"/>
    <n v="3"/>
    <n v="2"/>
    <n v="1"/>
    <n v="3"/>
    <n v="5"/>
    <x v="0"/>
    <x v="0"/>
    <x v="0"/>
    <x v="0"/>
    <x v="0"/>
    <n v="0"/>
    <n v="3"/>
    <n v="11"/>
    <x v="1"/>
  </r>
  <r>
    <n v="9467"/>
    <n v="1984"/>
    <x v="0"/>
    <s v="Single"/>
    <n v="34738"/>
    <n v="1"/>
    <n v="0"/>
    <d v="2014-05-11T00:00:00"/>
    <n v="51"/>
    <n v="3"/>
    <n v="2"/>
    <n v="10"/>
    <n v="3"/>
    <n v="0"/>
    <n v="2"/>
    <n v="1"/>
    <n v="1"/>
    <n v="0"/>
    <n v="3"/>
    <n v="6"/>
    <x v="0"/>
    <x v="0"/>
    <x v="0"/>
    <x v="0"/>
    <x v="0"/>
    <n v="0"/>
    <n v="3"/>
    <n v="11"/>
    <x v="1"/>
  </r>
  <r>
    <n v="8486"/>
    <n v="1971"/>
    <x v="2"/>
    <s v="Together"/>
    <n v="30538"/>
    <n v="1"/>
    <n v="0"/>
    <d v="2012-10-01T00:00:00"/>
    <n v="27"/>
    <n v="284"/>
    <n v="0"/>
    <n v="52"/>
    <n v="8"/>
    <n v="3"/>
    <n v="20"/>
    <n v="4"/>
    <n v="9"/>
    <n v="0"/>
    <n v="4"/>
    <n v="10"/>
    <x v="0"/>
    <x v="0"/>
    <x v="0"/>
    <x v="0"/>
    <x v="0"/>
    <n v="0"/>
    <n v="3"/>
    <n v="11"/>
    <x v="1"/>
  </r>
  <r>
    <n v="2186"/>
    <n v="1977"/>
    <x v="4"/>
    <s v="Together"/>
    <n v="82326"/>
    <n v="0"/>
    <n v="0"/>
    <d v="2014-03-10T00:00:00"/>
    <n v="30"/>
    <n v="938"/>
    <n v="142"/>
    <n v="754"/>
    <n v="159"/>
    <n v="81"/>
    <n v="183"/>
    <n v="1"/>
    <n v="5"/>
    <n v="10"/>
    <n v="6"/>
    <n v="2"/>
    <x v="0"/>
    <x v="1"/>
    <x v="1"/>
    <x v="1"/>
    <x v="0"/>
    <n v="0"/>
    <n v="3"/>
    <n v="11"/>
    <x v="0"/>
  </r>
  <r>
    <n v="3286"/>
    <n v="1967"/>
    <x v="1"/>
    <s v="Divorced"/>
    <n v="26642"/>
    <n v="1"/>
    <n v="0"/>
    <d v="2014-03-01T00:00:00"/>
    <n v="71"/>
    <n v="13"/>
    <n v="2"/>
    <n v="15"/>
    <n v="2"/>
    <n v="2"/>
    <n v="8"/>
    <n v="2"/>
    <n v="2"/>
    <n v="0"/>
    <n v="3"/>
    <n v="6"/>
    <x v="0"/>
    <x v="0"/>
    <x v="0"/>
    <x v="0"/>
    <x v="0"/>
    <n v="0"/>
    <n v="3"/>
    <n v="11"/>
    <x v="1"/>
  </r>
  <r>
    <n v="8602"/>
    <n v="1964"/>
    <x v="0"/>
    <s v="Divorced"/>
    <n v="69932"/>
    <n v="0"/>
    <n v="1"/>
    <d v="2013-06-12T00:00:00"/>
    <n v="97"/>
    <n v="412"/>
    <n v="172"/>
    <n v="153"/>
    <n v="150"/>
    <n v="105"/>
    <n v="57"/>
    <n v="2"/>
    <n v="7"/>
    <n v="6"/>
    <n v="11"/>
    <n v="4"/>
    <x v="0"/>
    <x v="0"/>
    <x v="0"/>
    <x v="0"/>
    <x v="0"/>
    <n v="0"/>
    <n v="3"/>
    <n v="11"/>
    <x v="1"/>
  </r>
  <r>
    <n v="3722"/>
    <n v="1972"/>
    <x v="0"/>
    <s v="Single"/>
    <n v="44503"/>
    <n v="1"/>
    <n v="1"/>
    <d v="2014-04-16T00:00:00"/>
    <n v="83"/>
    <n v="31"/>
    <n v="1"/>
    <n v="8"/>
    <n v="0"/>
    <n v="0"/>
    <n v="8"/>
    <n v="2"/>
    <n v="2"/>
    <n v="0"/>
    <n v="3"/>
    <n v="6"/>
    <x v="0"/>
    <x v="0"/>
    <x v="0"/>
    <x v="0"/>
    <x v="0"/>
    <n v="0"/>
    <n v="3"/>
    <n v="11"/>
    <x v="1"/>
  </r>
  <r>
    <n v="6715"/>
    <n v="1948"/>
    <x v="1"/>
    <s v="Single"/>
    <n v="60200"/>
    <n v="0"/>
    <n v="1"/>
    <d v="2013-01-02T00:00:00"/>
    <n v="3"/>
    <n v="502"/>
    <n v="19"/>
    <n v="132"/>
    <n v="0"/>
    <n v="6"/>
    <n v="26"/>
    <n v="6"/>
    <n v="6"/>
    <n v="2"/>
    <n v="11"/>
    <n v="6"/>
    <x v="0"/>
    <x v="0"/>
    <x v="0"/>
    <x v="0"/>
    <x v="0"/>
    <n v="0"/>
    <n v="3"/>
    <n v="11"/>
    <x v="1"/>
  </r>
  <r>
    <n v="4796"/>
    <n v="1952"/>
    <x v="0"/>
    <s v="Divorced"/>
    <n v="49638"/>
    <n v="0"/>
    <n v="1"/>
    <d v="2014-04-19T00:00:00"/>
    <n v="71"/>
    <n v="18"/>
    <n v="10"/>
    <n v="3"/>
    <n v="3"/>
    <n v="5"/>
    <n v="0"/>
    <n v="1"/>
    <n v="1"/>
    <n v="0"/>
    <n v="3"/>
    <n v="2"/>
    <x v="0"/>
    <x v="0"/>
    <x v="0"/>
    <x v="0"/>
    <x v="0"/>
    <n v="0"/>
    <n v="3"/>
    <n v="11"/>
    <x v="1"/>
  </r>
  <r>
    <n v="9612"/>
    <n v="1987"/>
    <x v="4"/>
    <s v="Single"/>
    <n v="23830"/>
    <n v="0"/>
    <n v="0"/>
    <d v="2014-02-07T00:00:00"/>
    <n v="3"/>
    <n v="1"/>
    <n v="8"/>
    <n v="6"/>
    <n v="4"/>
    <n v="8"/>
    <n v="16"/>
    <n v="1"/>
    <n v="1"/>
    <n v="0"/>
    <n v="3"/>
    <n v="7"/>
    <x v="0"/>
    <x v="0"/>
    <x v="0"/>
    <x v="0"/>
    <x v="0"/>
    <n v="0"/>
    <n v="3"/>
    <n v="11"/>
    <x v="1"/>
  </r>
  <r>
    <n v="3766"/>
    <n v="1959"/>
    <x v="2"/>
    <s v="Widow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x v="0"/>
    <x v="0"/>
    <x v="0"/>
    <x v="0"/>
    <x v="0"/>
    <n v="0"/>
    <n v="3"/>
    <n v="11"/>
    <x v="0"/>
  </r>
  <r>
    <n v="1399"/>
    <n v="1958"/>
    <x v="0"/>
    <s v="Married"/>
    <n v="72905"/>
    <n v="0"/>
    <n v="0"/>
    <d v="2014-01-21T00:00:00"/>
    <n v="52"/>
    <n v="407"/>
    <n v="114"/>
    <n v="445"/>
    <n v="181"/>
    <n v="165"/>
    <n v="203"/>
    <n v="1"/>
    <n v="3"/>
    <n v="7"/>
    <n v="9"/>
    <n v="1"/>
    <x v="0"/>
    <x v="0"/>
    <x v="0"/>
    <x v="1"/>
    <x v="0"/>
    <n v="0"/>
    <n v="3"/>
    <n v="11"/>
    <x v="1"/>
  </r>
  <r>
    <n v="1570"/>
    <n v="1951"/>
    <x v="1"/>
    <s v="Together"/>
    <n v="69702"/>
    <n v="0"/>
    <n v="1"/>
    <d v="2013-02-19T00:00:00"/>
    <n v="8"/>
    <n v="664"/>
    <n v="9"/>
    <n v="240"/>
    <n v="50"/>
    <n v="19"/>
    <n v="57"/>
    <n v="2"/>
    <n v="7"/>
    <n v="7"/>
    <n v="10"/>
    <n v="4"/>
    <x v="0"/>
    <x v="0"/>
    <x v="0"/>
    <x v="0"/>
    <x v="0"/>
    <n v="0"/>
    <n v="3"/>
    <n v="11"/>
    <x v="1"/>
  </r>
  <r>
    <n v="3426"/>
    <n v="1975"/>
    <x v="0"/>
    <s v="Divorced"/>
    <n v="70300"/>
    <n v="1"/>
    <n v="0"/>
    <d v="2013-07-15T00:00:00"/>
    <n v="89"/>
    <n v="1045"/>
    <n v="61"/>
    <n v="338"/>
    <n v="60"/>
    <n v="46"/>
    <n v="46"/>
    <n v="3"/>
    <n v="5"/>
    <n v="5"/>
    <n v="13"/>
    <n v="8"/>
    <x v="0"/>
    <x v="0"/>
    <x v="0"/>
    <x v="0"/>
    <x v="0"/>
    <n v="0"/>
    <n v="3"/>
    <n v="11"/>
    <x v="1"/>
  </r>
  <r>
    <n v="3074"/>
    <n v="1984"/>
    <x v="1"/>
    <s v="Married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x v="0"/>
    <x v="0"/>
    <x v="0"/>
    <x v="0"/>
    <x v="0"/>
    <n v="0"/>
    <n v="3"/>
    <n v="11"/>
    <x v="0"/>
  </r>
  <r>
    <n v="8341"/>
    <n v="1969"/>
    <x v="1"/>
    <s v="Married"/>
    <n v="30396"/>
    <n v="1"/>
    <n v="0"/>
    <d v="2014-04-30T00:00:00"/>
    <n v="22"/>
    <n v="15"/>
    <n v="0"/>
    <n v="6"/>
    <n v="0"/>
    <n v="1"/>
    <n v="12"/>
    <n v="2"/>
    <n v="1"/>
    <n v="1"/>
    <n v="2"/>
    <n v="7"/>
    <x v="1"/>
    <x v="0"/>
    <x v="0"/>
    <x v="0"/>
    <x v="0"/>
    <n v="0"/>
    <n v="3"/>
    <n v="11"/>
    <x v="0"/>
  </r>
  <r>
    <n v="5180"/>
    <n v="1968"/>
    <x v="1"/>
    <s v="Divorced"/>
    <n v="50616"/>
    <n v="0"/>
    <n v="1"/>
    <d v="2014-04-18T00:00:00"/>
    <n v="56"/>
    <n v="128"/>
    <n v="0"/>
    <n v="16"/>
    <n v="0"/>
    <n v="1"/>
    <n v="4"/>
    <n v="2"/>
    <n v="4"/>
    <n v="0"/>
    <n v="4"/>
    <n v="7"/>
    <x v="0"/>
    <x v="0"/>
    <x v="0"/>
    <x v="0"/>
    <x v="0"/>
    <n v="0"/>
    <n v="3"/>
    <n v="11"/>
    <x v="1"/>
  </r>
  <r>
    <n v="6461"/>
    <n v="1969"/>
    <x v="2"/>
    <s v="Single"/>
    <n v="62772"/>
    <n v="0"/>
    <n v="1"/>
    <d v="2013-05-19T00:00:00"/>
    <n v="74"/>
    <n v="581"/>
    <n v="49"/>
    <n v="157"/>
    <n v="43"/>
    <n v="8"/>
    <n v="108"/>
    <n v="1"/>
    <n v="5"/>
    <n v="6"/>
    <n v="11"/>
    <n v="2"/>
    <x v="0"/>
    <x v="1"/>
    <x v="0"/>
    <x v="0"/>
    <x v="0"/>
    <n v="0"/>
    <n v="3"/>
    <n v="11"/>
    <x v="1"/>
  </r>
  <r>
    <n v="7679"/>
    <n v="1985"/>
    <x v="1"/>
    <s v="Single"/>
    <n v="30298"/>
    <n v="0"/>
    <n v="0"/>
    <d v="2014-05-19T00:00:00"/>
    <n v="48"/>
    <n v="6"/>
    <n v="3"/>
    <n v="12"/>
    <n v="6"/>
    <n v="1"/>
    <n v="0"/>
    <n v="1"/>
    <n v="1"/>
    <n v="1"/>
    <n v="3"/>
    <n v="3"/>
    <x v="0"/>
    <x v="0"/>
    <x v="0"/>
    <x v="0"/>
    <x v="0"/>
    <n v="0"/>
    <n v="3"/>
    <n v="11"/>
    <x v="1"/>
  </r>
  <r>
    <n v="10702"/>
    <n v="1984"/>
    <x v="0"/>
    <s v="Single"/>
    <n v="52413"/>
    <n v="1"/>
    <n v="0"/>
    <d v="2012-11-03T00:00:00"/>
    <n v="67"/>
    <n v="185"/>
    <n v="8"/>
    <n v="133"/>
    <n v="56"/>
    <n v="56"/>
    <n v="12"/>
    <n v="2"/>
    <n v="7"/>
    <n v="1"/>
    <n v="7"/>
    <n v="7"/>
    <x v="0"/>
    <x v="0"/>
    <x v="0"/>
    <x v="0"/>
    <x v="0"/>
    <n v="0"/>
    <n v="3"/>
    <n v="11"/>
    <x v="1"/>
  </r>
  <r>
    <n v="7505"/>
    <n v="1957"/>
    <x v="1"/>
    <s v="Married"/>
    <n v="44155"/>
    <n v="1"/>
    <n v="1"/>
    <d v="2014-01-19T00:00:00"/>
    <n v="24"/>
    <n v="22"/>
    <n v="1"/>
    <n v="9"/>
    <n v="0"/>
    <n v="0"/>
    <n v="14"/>
    <n v="1"/>
    <n v="1"/>
    <n v="1"/>
    <n v="2"/>
    <n v="4"/>
    <x v="0"/>
    <x v="0"/>
    <x v="0"/>
    <x v="0"/>
    <x v="0"/>
    <n v="0"/>
    <n v="3"/>
    <n v="11"/>
    <x v="1"/>
  </r>
  <r>
    <n v="5113"/>
    <n v="1971"/>
    <x v="1"/>
    <s v="Divorced"/>
    <n v="86979"/>
    <n v="0"/>
    <n v="0"/>
    <d v="2013-11-07T00:00:00"/>
    <n v="67"/>
    <n v="584"/>
    <n v="100"/>
    <n v="835"/>
    <n v="65"/>
    <n v="83"/>
    <n v="35"/>
    <n v="1"/>
    <n v="5"/>
    <n v="5"/>
    <n v="5"/>
    <n v="2"/>
    <x v="1"/>
    <x v="0"/>
    <x v="0"/>
    <x v="0"/>
    <x v="0"/>
    <n v="0"/>
    <n v="3"/>
    <n v="11"/>
    <x v="0"/>
  </r>
  <r>
    <n v="10858"/>
    <n v="1975"/>
    <x v="0"/>
    <s v="Together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x v="0"/>
    <x v="0"/>
    <x v="0"/>
    <x v="0"/>
    <x v="0"/>
    <n v="0"/>
    <n v="3"/>
    <n v="11"/>
    <x v="1"/>
  </r>
  <r>
    <n v="2961"/>
    <n v="1982"/>
    <x v="0"/>
    <s v="Married"/>
    <n v="42081"/>
    <n v="1"/>
    <n v="0"/>
    <d v="2013-02-26T00:00:00"/>
    <n v="86"/>
    <n v="175"/>
    <n v="10"/>
    <n v="110"/>
    <n v="54"/>
    <n v="6"/>
    <n v="27"/>
    <n v="2"/>
    <n v="6"/>
    <n v="3"/>
    <n v="4"/>
    <n v="6"/>
    <x v="1"/>
    <x v="0"/>
    <x v="0"/>
    <x v="0"/>
    <x v="0"/>
    <n v="0"/>
    <n v="3"/>
    <n v="11"/>
    <x v="1"/>
  </r>
  <r>
    <n v="2747"/>
    <n v="1988"/>
    <x v="1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x v="0"/>
    <x v="0"/>
    <x v="0"/>
    <x v="0"/>
    <x v="0"/>
    <n v="0"/>
    <n v="3"/>
    <n v="11"/>
    <x v="1"/>
  </r>
  <r>
    <n v="3010"/>
    <n v="1989"/>
    <x v="2"/>
    <s v="Together"/>
    <n v="88420"/>
    <n v="0"/>
    <n v="0"/>
    <d v="2014-05-02T00:00:00"/>
    <n v="87"/>
    <n v="957"/>
    <n v="153"/>
    <n v="612"/>
    <n v="99"/>
    <n v="95"/>
    <n v="153"/>
    <n v="1"/>
    <n v="4"/>
    <n v="7"/>
    <n v="8"/>
    <n v="1"/>
    <x v="1"/>
    <x v="0"/>
    <x v="1"/>
    <x v="1"/>
    <x v="0"/>
    <n v="0"/>
    <n v="3"/>
    <n v="11"/>
    <x v="1"/>
  </r>
  <r>
    <n v="5790"/>
    <n v="1985"/>
    <x v="0"/>
    <s v="Married"/>
    <n v="31158"/>
    <n v="1"/>
    <n v="0"/>
    <d v="2013-01-27T00:00:00"/>
    <n v="62"/>
    <n v="25"/>
    <n v="6"/>
    <n v="16"/>
    <n v="20"/>
    <n v="0"/>
    <n v="5"/>
    <n v="2"/>
    <n v="2"/>
    <n v="0"/>
    <n v="3"/>
    <n v="8"/>
    <x v="0"/>
    <x v="0"/>
    <x v="0"/>
    <x v="0"/>
    <x v="0"/>
    <n v="0"/>
    <n v="3"/>
    <n v="11"/>
    <x v="1"/>
  </r>
  <r>
    <n v="6892"/>
    <n v="1968"/>
    <x v="0"/>
    <s v="Divorced"/>
    <n v="61671"/>
    <n v="0"/>
    <n v="1"/>
    <d v="2014-06-03T00:00:00"/>
    <n v="23"/>
    <n v="641"/>
    <n v="7"/>
    <n v="56"/>
    <n v="0"/>
    <n v="0"/>
    <n v="28"/>
    <n v="8"/>
    <n v="10"/>
    <n v="4"/>
    <n v="6"/>
    <n v="8"/>
    <x v="0"/>
    <x v="1"/>
    <x v="0"/>
    <x v="1"/>
    <x v="0"/>
    <n v="0"/>
    <n v="3"/>
    <n v="11"/>
    <x v="1"/>
  </r>
  <r>
    <n v="1743"/>
    <n v="1974"/>
    <x v="0"/>
    <s v="Single"/>
    <n v="69719"/>
    <n v="0"/>
    <n v="0"/>
    <d v="2014-05-26T00:00:00"/>
    <n v="99"/>
    <n v="273"/>
    <n v="86"/>
    <n v="208"/>
    <n v="177"/>
    <n v="14"/>
    <n v="43"/>
    <n v="1"/>
    <n v="2"/>
    <n v="3"/>
    <n v="5"/>
    <n v="1"/>
    <x v="0"/>
    <x v="0"/>
    <x v="0"/>
    <x v="0"/>
    <x v="0"/>
    <n v="0"/>
    <n v="3"/>
    <n v="11"/>
    <x v="1"/>
  </r>
  <r>
    <n v="3578"/>
    <n v="1949"/>
    <x v="0"/>
    <s v="Divorced"/>
    <n v="49160"/>
    <n v="0"/>
    <n v="1"/>
    <d v="2013-10-20T00:00:00"/>
    <n v="29"/>
    <n v="122"/>
    <n v="21"/>
    <n v="43"/>
    <n v="25"/>
    <n v="10"/>
    <n v="15"/>
    <n v="2"/>
    <n v="3"/>
    <n v="1"/>
    <n v="6"/>
    <n v="6"/>
    <x v="0"/>
    <x v="0"/>
    <x v="0"/>
    <x v="0"/>
    <x v="0"/>
    <n v="0"/>
    <n v="3"/>
    <n v="11"/>
    <x v="1"/>
  </r>
  <r>
    <n v="8462"/>
    <n v="1978"/>
    <x v="3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x v="1"/>
    <x v="0"/>
    <x v="0"/>
    <x v="0"/>
    <x v="0"/>
    <n v="0"/>
    <n v="3"/>
    <n v="11"/>
    <x v="1"/>
  </r>
  <r>
    <n v="5558"/>
    <n v="1954"/>
    <x v="1"/>
    <s v="Single"/>
    <n v="90933"/>
    <n v="0"/>
    <n v="0"/>
    <d v="2014-03-31T00:00:00"/>
    <n v="90"/>
    <n v="1020"/>
    <n v="31"/>
    <n v="430"/>
    <n v="62"/>
    <n v="63"/>
    <n v="79"/>
    <n v="1"/>
    <n v="4"/>
    <n v="6"/>
    <n v="4"/>
    <n v="1"/>
    <x v="0"/>
    <x v="0"/>
    <x v="1"/>
    <x v="0"/>
    <x v="0"/>
    <n v="0"/>
    <n v="3"/>
    <n v="11"/>
    <x v="1"/>
  </r>
  <r>
    <n v="4619"/>
    <n v="1945"/>
    <x v="1"/>
    <s v="Single"/>
    <n v="113734"/>
    <n v="0"/>
    <n v="0"/>
    <d v="2014-05-28T00:00:00"/>
    <n v="9"/>
    <n v="6"/>
    <n v="2"/>
    <n v="3"/>
    <n v="1"/>
    <n v="262"/>
    <n v="3"/>
    <n v="0"/>
    <n v="27"/>
    <n v="0"/>
    <n v="0"/>
    <n v="1"/>
    <x v="0"/>
    <x v="0"/>
    <x v="0"/>
    <x v="0"/>
    <x v="0"/>
    <n v="0"/>
    <n v="3"/>
    <n v="11"/>
    <x v="1"/>
  </r>
  <r>
    <n v="8780"/>
    <n v="1950"/>
    <x v="1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x v="0"/>
    <x v="0"/>
    <x v="0"/>
    <x v="0"/>
    <x v="0"/>
    <n v="0"/>
    <n v="3"/>
    <n v="11"/>
    <x v="1"/>
  </r>
  <r>
    <n v="10789"/>
    <n v="1964"/>
    <x v="1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x v="0"/>
    <x v="0"/>
    <x v="0"/>
    <x v="0"/>
    <x v="0"/>
    <n v="0"/>
    <n v="3"/>
    <n v="11"/>
    <x v="1"/>
  </r>
  <r>
    <n v="10779"/>
    <n v="1983"/>
    <x v="0"/>
    <s v="Single"/>
    <n v="22148"/>
    <n v="0"/>
    <n v="0"/>
    <d v="2014-04-13T00:00:00"/>
    <n v="16"/>
    <n v="15"/>
    <n v="5"/>
    <n v="14"/>
    <n v="0"/>
    <n v="4"/>
    <n v="11"/>
    <n v="1"/>
    <n v="1"/>
    <n v="0"/>
    <n v="3"/>
    <n v="7"/>
    <x v="0"/>
    <x v="0"/>
    <x v="0"/>
    <x v="0"/>
    <x v="0"/>
    <n v="0"/>
    <n v="3"/>
    <n v="11"/>
    <x v="1"/>
  </r>
  <r>
    <n v="5896"/>
    <n v="1987"/>
    <x v="2"/>
    <s v="Married"/>
    <n v="73395"/>
    <n v="0"/>
    <n v="0"/>
    <d v="2014-03-18T00:00:00"/>
    <n v="94"/>
    <n v="272"/>
    <n v="7"/>
    <n v="80"/>
    <n v="20"/>
    <n v="7"/>
    <n v="11"/>
    <n v="1"/>
    <n v="4"/>
    <n v="4"/>
    <n v="6"/>
    <n v="2"/>
    <x v="0"/>
    <x v="0"/>
    <x v="0"/>
    <x v="0"/>
    <x v="0"/>
    <n v="0"/>
    <n v="3"/>
    <n v="11"/>
    <x v="1"/>
  </r>
  <r>
    <n v="2337"/>
    <n v="1971"/>
    <x v="0"/>
    <s v="Divorced"/>
    <n v="29819"/>
    <n v="1"/>
    <n v="0"/>
    <d v="2013-10-24T00:00:00"/>
    <n v="77"/>
    <n v="9"/>
    <n v="1"/>
    <n v="24"/>
    <n v="2"/>
    <n v="1"/>
    <n v="2"/>
    <n v="3"/>
    <n v="3"/>
    <n v="0"/>
    <n v="3"/>
    <n v="6"/>
    <x v="0"/>
    <x v="0"/>
    <x v="0"/>
    <x v="0"/>
    <x v="0"/>
    <n v="0"/>
    <n v="3"/>
    <n v="11"/>
    <x v="1"/>
  </r>
  <r>
    <n v="10951"/>
    <n v="1968"/>
    <x v="0"/>
    <s v="Married"/>
    <n v="45688"/>
    <n v="0"/>
    <n v="1"/>
    <d v="2014-01-25T00:00:00"/>
    <n v="20"/>
    <n v="279"/>
    <n v="0"/>
    <n v="18"/>
    <n v="0"/>
    <n v="0"/>
    <n v="9"/>
    <n v="2"/>
    <n v="3"/>
    <n v="1"/>
    <n v="8"/>
    <n v="4"/>
    <x v="0"/>
    <x v="1"/>
    <x v="0"/>
    <x v="0"/>
    <x v="0"/>
    <n v="0"/>
    <n v="3"/>
    <n v="11"/>
    <x v="1"/>
  </r>
  <r>
    <n v="544"/>
    <n v="1954"/>
    <x v="0"/>
    <s v="Married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x v="0"/>
    <x v="0"/>
    <x v="0"/>
    <x v="0"/>
    <x v="0"/>
    <n v="0"/>
    <n v="3"/>
    <n v="11"/>
    <x v="1"/>
  </r>
  <r>
    <n v="17"/>
    <n v="1971"/>
    <x v="1"/>
    <s v="Married"/>
    <n v="60491"/>
    <n v="0"/>
    <n v="1"/>
    <d v="2013-09-06T00:00:00"/>
    <n v="81"/>
    <n v="637"/>
    <n v="47"/>
    <n v="237"/>
    <n v="12"/>
    <n v="19"/>
    <n v="76"/>
    <n v="4"/>
    <n v="6"/>
    <n v="11"/>
    <n v="7"/>
    <n v="5"/>
    <x v="0"/>
    <x v="0"/>
    <x v="0"/>
    <x v="0"/>
    <x v="0"/>
    <n v="0"/>
    <n v="3"/>
    <n v="11"/>
    <x v="1"/>
  </r>
  <r>
    <n v="10680"/>
    <n v="1986"/>
    <x v="0"/>
    <s v="Together"/>
    <n v="33235"/>
    <n v="1"/>
    <n v="0"/>
    <d v="2014-02-05T00:00:00"/>
    <n v="71"/>
    <n v="45"/>
    <n v="0"/>
    <n v="16"/>
    <n v="2"/>
    <n v="1"/>
    <n v="6"/>
    <n v="1"/>
    <n v="3"/>
    <n v="0"/>
    <n v="3"/>
    <n v="7"/>
    <x v="0"/>
    <x v="0"/>
    <x v="0"/>
    <x v="0"/>
    <x v="0"/>
    <n v="0"/>
    <n v="3"/>
    <n v="11"/>
    <x v="1"/>
  </r>
  <r>
    <n v="3265"/>
    <n v="1959"/>
    <x v="0"/>
    <s v="Married"/>
    <n v="35701"/>
    <n v="0"/>
    <n v="0"/>
    <d v="2013-03-19T00:00:00"/>
    <n v="36"/>
    <n v="21"/>
    <n v="1"/>
    <n v="9"/>
    <n v="7"/>
    <n v="3"/>
    <n v="5"/>
    <n v="1"/>
    <n v="1"/>
    <n v="0"/>
    <n v="3"/>
    <n v="6"/>
    <x v="0"/>
    <x v="0"/>
    <x v="0"/>
    <x v="0"/>
    <x v="0"/>
    <n v="0"/>
    <n v="3"/>
    <n v="11"/>
    <x v="1"/>
  </r>
  <r>
    <n v="5623"/>
    <n v="1980"/>
    <x v="2"/>
    <s v="Married"/>
    <n v="31535"/>
    <n v="1"/>
    <n v="0"/>
    <d v="2013-09-26T00:00:00"/>
    <n v="95"/>
    <n v="15"/>
    <n v="4"/>
    <n v="13"/>
    <n v="0"/>
    <n v="0"/>
    <n v="19"/>
    <n v="1"/>
    <n v="1"/>
    <n v="1"/>
    <n v="2"/>
    <n v="7"/>
    <x v="1"/>
    <x v="0"/>
    <x v="0"/>
    <x v="0"/>
    <x v="0"/>
    <n v="0"/>
    <n v="3"/>
    <n v="11"/>
    <x v="1"/>
  </r>
  <r>
    <n v="5832"/>
    <n v="1960"/>
    <x v="4"/>
    <s v="Together"/>
    <n v="92556"/>
    <n v="0"/>
    <n v="0"/>
    <d v="2014-04-20T00:00:00"/>
    <n v="32"/>
    <n v="493"/>
    <n v="183"/>
    <n v="352"/>
    <n v="184"/>
    <n v="23"/>
    <n v="28"/>
    <n v="0"/>
    <n v="3"/>
    <n v="5"/>
    <n v="13"/>
    <n v="0"/>
    <x v="0"/>
    <x v="0"/>
    <x v="0"/>
    <x v="0"/>
    <x v="0"/>
    <n v="0"/>
    <n v="3"/>
    <n v="11"/>
    <x v="1"/>
  </r>
  <r>
    <n v="5544"/>
    <n v="1970"/>
    <x v="0"/>
    <s v="Single"/>
    <n v="67384"/>
    <n v="0"/>
    <n v="1"/>
    <d v="2012-11-10T00:00:00"/>
    <n v="32"/>
    <n v="957"/>
    <n v="40"/>
    <n v="175"/>
    <n v="158"/>
    <n v="53"/>
    <n v="107"/>
    <n v="2"/>
    <n v="7"/>
    <n v="8"/>
    <n v="5"/>
    <n v="5"/>
    <x v="0"/>
    <x v="1"/>
    <x v="0"/>
    <x v="0"/>
    <x v="0"/>
    <n v="0"/>
    <n v="3"/>
    <n v="11"/>
    <x v="1"/>
  </r>
  <r>
    <n v="6417"/>
    <n v="1971"/>
    <x v="2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x v="0"/>
    <x v="0"/>
    <x v="0"/>
    <x v="0"/>
    <x v="0"/>
    <n v="0"/>
    <n v="3"/>
    <n v="11"/>
    <x v="1"/>
  </r>
  <r>
    <n v="5831"/>
    <n v="1967"/>
    <x v="0"/>
    <s v="Married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x v="0"/>
    <x v="1"/>
    <x v="0"/>
    <x v="1"/>
    <x v="0"/>
    <n v="0"/>
    <n v="3"/>
    <n v="11"/>
    <x v="0"/>
  </r>
  <r>
    <n v="7101"/>
    <n v="1963"/>
    <x v="1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x v="0"/>
    <x v="0"/>
    <x v="0"/>
    <x v="0"/>
    <x v="0"/>
    <n v="0"/>
    <n v="3"/>
    <n v="11"/>
    <x v="1"/>
  </r>
  <r>
    <n v="10176"/>
    <n v="1968"/>
    <x v="0"/>
    <s v="Single"/>
    <n v="57107"/>
    <n v="0"/>
    <n v="1"/>
    <d v="2012-08-24T00:00:00"/>
    <n v="44"/>
    <n v="159"/>
    <n v="0"/>
    <n v="120"/>
    <n v="0"/>
    <n v="0"/>
    <n v="137"/>
    <n v="7"/>
    <n v="4"/>
    <n v="4"/>
    <n v="8"/>
    <n v="8"/>
    <x v="0"/>
    <x v="1"/>
    <x v="0"/>
    <x v="0"/>
    <x v="1"/>
    <n v="0"/>
    <n v="3"/>
    <n v="11"/>
    <x v="0"/>
  </r>
  <r>
    <n v="2326"/>
    <n v="1990"/>
    <x v="0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x v="0"/>
    <x v="0"/>
    <x v="0"/>
    <x v="0"/>
    <x v="0"/>
    <n v="0"/>
    <n v="3"/>
    <n v="11"/>
    <x v="1"/>
  </r>
  <r>
    <n v="4385"/>
    <n v="1981"/>
    <x v="1"/>
    <s v="Single"/>
    <n v="36038"/>
    <n v="1"/>
    <n v="0"/>
    <d v="2013-05-31T00:00:00"/>
    <n v="82"/>
    <n v="23"/>
    <n v="0"/>
    <n v="15"/>
    <n v="0"/>
    <n v="2"/>
    <n v="7"/>
    <n v="2"/>
    <n v="3"/>
    <n v="0"/>
    <n v="3"/>
    <n v="6"/>
    <x v="0"/>
    <x v="0"/>
    <x v="0"/>
    <x v="0"/>
    <x v="0"/>
    <n v="0"/>
    <n v="3"/>
    <n v="11"/>
    <x v="1"/>
  </r>
  <r>
    <n v="2929"/>
    <n v="1976"/>
    <x v="0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x v="0"/>
    <x v="0"/>
    <x v="0"/>
    <x v="0"/>
    <x v="0"/>
    <n v="0"/>
    <n v="3"/>
    <n v="11"/>
    <x v="1"/>
  </r>
  <r>
    <n v="10686"/>
    <n v="1965"/>
    <x v="1"/>
    <s v="Together"/>
    <n v="34230"/>
    <n v="1"/>
    <n v="1"/>
    <d v="2012-12-26T00:00:00"/>
    <n v="72"/>
    <n v="15"/>
    <n v="0"/>
    <n v="4"/>
    <n v="0"/>
    <n v="0"/>
    <n v="2"/>
    <n v="1"/>
    <n v="1"/>
    <n v="0"/>
    <n v="2"/>
    <n v="7"/>
    <x v="0"/>
    <x v="0"/>
    <x v="0"/>
    <x v="0"/>
    <x v="0"/>
    <n v="0"/>
    <n v="3"/>
    <n v="11"/>
    <x v="1"/>
  </r>
  <r>
    <n v="2546"/>
    <n v="1977"/>
    <x v="4"/>
    <s v="Single"/>
    <n v="31878"/>
    <n v="0"/>
    <n v="1"/>
    <d v="2014-06-22T00:00:00"/>
    <n v="7"/>
    <n v="23"/>
    <n v="4"/>
    <n v="5"/>
    <n v="10"/>
    <n v="5"/>
    <n v="23"/>
    <n v="1"/>
    <n v="1"/>
    <n v="0"/>
    <n v="4"/>
    <n v="3"/>
    <x v="0"/>
    <x v="0"/>
    <x v="0"/>
    <x v="0"/>
    <x v="0"/>
    <n v="0"/>
    <n v="3"/>
    <n v="11"/>
    <x v="1"/>
  </r>
  <r>
    <n v="3283"/>
    <n v="1972"/>
    <x v="4"/>
    <s v="Married"/>
    <n v="70932"/>
    <n v="0"/>
    <n v="1"/>
    <d v="2014-01-19T00:00:00"/>
    <n v="57"/>
    <n v="200"/>
    <n v="193"/>
    <n v="100"/>
    <n v="46"/>
    <n v="185"/>
    <n v="185"/>
    <n v="2"/>
    <n v="6"/>
    <n v="2"/>
    <n v="12"/>
    <n v="3"/>
    <x v="0"/>
    <x v="0"/>
    <x v="0"/>
    <x v="0"/>
    <x v="0"/>
    <n v="0"/>
    <n v="3"/>
    <n v="11"/>
    <x v="1"/>
  </r>
  <r>
    <n v="3138"/>
    <n v="1956"/>
    <x v="0"/>
    <s v="Single"/>
    <n v="91249"/>
    <n v="0"/>
    <n v="0"/>
    <d v="2012-10-20T00:00:00"/>
    <n v="84"/>
    <n v="1324"/>
    <n v="27"/>
    <n v="119"/>
    <n v="71"/>
    <n v="108"/>
    <n v="27"/>
    <n v="0"/>
    <n v="7"/>
    <n v="9"/>
    <n v="6"/>
    <n v="4"/>
    <x v="0"/>
    <x v="1"/>
    <x v="1"/>
    <x v="1"/>
    <x v="1"/>
    <n v="0"/>
    <n v="3"/>
    <n v="11"/>
    <x v="0"/>
  </r>
  <r>
    <n v="4994"/>
    <n v="1943"/>
    <x v="2"/>
    <s v="Single"/>
    <n v="77598"/>
    <n v="0"/>
    <n v="0"/>
    <d v="2013-10-01T00:00:00"/>
    <n v="53"/>
    <n v="1193"/>
    <n v="33"/>
    <n v="281"/>
    <n v="129"/>
    <n v="66"/>
    <n v="33"/>
    <n v="1"/>
    <n v="7"/>
    <n v="5"/>
    <n v="13"/>
    <n v="3"/>
    <x v="0"/>
    <x v="0"/>
    <x v="1"/>
    <x v="0"/>
    <x v="0"/>
    <n v="0"/>
    <n v="3"/>
    <n v="11"/>
    <x v="1"/>
  </r>
  <r>
    <n v="7966"/>
    <n v="1959"/>
    <x v="0"/>
    <s v="Single"/>
    <n v="80982"/>
    <n v="1"/>
    <n v="1"/>
    <d v="2013-01-08T00:00:00"/>
    <n v="48"/>
    <n v="505"/>
    <n v="137"/>
    <n v="401"/>
    <n v="104"/>
    <n v="22"/>
    <n v="22"/>
    <n v="3"/>
    <n v="11"/>
    <n v="5"/>
    <n v="11"/>
    <n v="5"/>
    <x v="0"/>
    <x v="0"/>
    <x v="0"/>
    <x v="0"/>
    <x v="0"/>
    <n v="1"/>
    <n v="3"/>
    <n v="11"/>
    <x v="1"/>
  </r>
  <r>
    <n v="3112"/>
    <n v="1977"/>
    <x v="2"/>
    <s v="Married"/>
    <n v="22701"/>
    <n v="1"/>
    <n v="0"/>
    <d v="2013-09-05T00:00:00"/>
    <n v="2"/>
    <n v="2"/>
    <n v="4"/>
    <n v="9"/>
    <n v="0"/>
    <n v="4"/>
    <n v="5"/>
    <n v="1"/>
    <n v="1"/>
    <n v="0"/>
    <n v="3"/>
    <n v="5"/>
    <x v="0"/>
    <x v="0"/>
    <x v="0"/>
    <x v="0"/>
    <x v="0"/>
    <n v="0"/>
    <n v="3"/>
    <n v="11"/>
    <x v="1"/>
  </r>
  <r>
    <n v="10872"/>
    <n v="1969"/>
    <x v="1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x v="0"/>
    <x v="1"/>
    <x v="0"/>
    <x v="0"/>
    <x v="1"/>
    <n v="0"/>
    <n v="3"/>
    <n v="11"/>
    <x v="1"/>
  </r>
  <r>
    <n v="2181"/>
    <n v="1970"/>
    <x v="0"/>
    <s v="Married"/>
    <n v="70617"/>
    <n v="0"/>
    <n v="0"/>
    <d v="2013-06-23T00:00:00"/>
    <n v="45"/>
    <n v="353"/>
    <n v="61"/>
    <n v="753"/>
    <n v="40"/>
    <n v="46"/>
    <n v="27"/>
    <n v="1"/>
    <n v="3"/>
    <n v="3"/>
    <n v="7"/>
    <n v="2"/>
    <x v="0"/>
    <x v="0"/>
    <x v="0"/>
    <x v="0"/>
    <x v="0"/>
    <n v="0"/>
    <n v="3"/>
    <n v="11"/>
    <x v="1"/>
  </r>
  <r>
    <n v="1867"/>
    <n v="1957"/>
    <x v="0"/>
    <s v="Single"/>
    <n v="64849"/>
    <n v="0"/>
    <n v="0"/>
    <d v="2012-11-13T00:00:00"/>
    <n v="42"/>
    <n v="652"/>
    <n v="48"/>
    <n v="350"/>
    <n v="94"/>
    <n v="84"/>
    <n v="108"/>
    <n v="1"/>
    <n v="9"/>
    <n v="3"/>
    <n v="6"/>
    <n v="5"/>
    <x v="0"/>
    <x v="0"/>
    <x v="0"/>
    <x v="0"/>
    <x v="0"/>
    <n v="0"/>
    <n v="3"/>
    <n v="11"/>
    <x v="0"/>
  </r>
  <r>
    <n v="1518"/>
    <n v="1965"/>
    <x v="2"/>
    <s v="Married"/>
    <n v="62694"/>
    <n v="1"/>
    <n v="1"/>
    <d v="2013-06-17T00:00:00"/>
    <n v="29"/>
    <n v="379"/>
    <n v="6"/>
    <n v="157"/>
    <n v="25"/>
    <n v="91"/>
    <n v="91"/>
    <n v="5"/>
    <n v="9"/>
    <n v="3"/>
    <n v="7"/>
    <n v="7"/>
    <x v="0"/>
    <x v="0"/>
    <x v="0"/>
    <x v="0"/>
    <x v="0"/>
    <n v="0"/>
    <n v="3"/>
    <n v="11"/>
    <x v="1"/>
  </r>
  <r>
    <n v="5734"/>
    <n v="1974"/>
    <x v="1"/>
    <s v="Married"/>
    <n v="61917"/>
    <n v="1"/>
    <n v="1"/>
    <d v="2013-11-20T00:00:00"/>
    <n v="83"/>
    <n v="46"/>
    <n v="4"/>
    <n v="36"/>
    <n v="2"/>
    <n v="2"/>
    <n v="1"/>
    <n v="1"/>
    <n v="2"/>
    <n v="0"/>
    <n v="4"/>
    <n v="5"/>
    <x v="0"/>
    <x v="0"/>
    <x v="0"/>
    <x v="0"/>
    <x v="0"/>
    <n v="0"/>
    <n v="3"/>
    <n v="11"/>
    <x v="1"/>
  </r>
  <r>
    <n v="2878"/>
    <n v="1947"/>
    <x v="1"/>
    <s v="Married"/>
    <n v="67472"/>
    <n v="0"/>
    <n v="1"/>
    <d v="2013-09-28T00:00:00"/>
    <n v="93"/>
    <n v="162"/>
    <n v="31"/>
    <n v="127"/>
    <n v="8"/>
    <n v="17"/>
    <n v="69"/>
    <n v="2"/>
    <n v="4"/>
    <n v="2"/>
    <n v="7"/>
    <n v="3"/>
    <x v="0"/>
    <x v="0"/>
    <x v="0"/>
    <x v="0"/>
    <x v="0"/>
    <n v="0"/>
    <n v="3"/>
    <n v="11"/>
    <x v="1"/>
  </r>
  <r>
    <n v="1458"/>
    <n v="1982"/>
    <x v="2"/>
    <s v="Married"/>
    <n v="21059"/>
    <n v="1"/>
    <n v="0"/>
    <d v="2014-01-07T00:00:00"/>
    <n v="40"/>
    <n v="8"/>
    <n v="3"/>
    <n v="19"/>
    <n v="3"/>
    <n v="3"/>
    <n v="8"/>
    <n v="3"/>
    <n v="3"/>
    <n v="0"/>
    <n v="3"/>
    <n v="6"/>
    <x v="0"/>
    <x v="0"/>
    <x v="0"/>
    <x v="0"/>
    <x v="0"/>
    <n v="0"/>
    <n v="3"/>
    <n v="11"/>
    <x v="1"/>
  </r>
  <r>
    <n v="7007"/>
    <n v="1968"/>
    <x v="2"/>
    <s v="Married"/>
    <n v="29543"/>
    <n v="2"/>
    <n v="0"/>
    <d v="2014-04-01T00:00:00"/>
    <n v="47"/>
    <n v="17"/>
    <n v="3"/>
    <n v="18"/>
    <n v="3"/>
    <n v="4"/>
    <n v="18"/>
    <n v="2"/>
    <n v="3"/>
    <n v="1"/>
    <n v="2"/>
    <n v="7"/>
    <x v="0"/>
    <x v="0"/>
    <x v="0"/>
    <x v="0"/>
    <x v="0"/>
    <n v="0"/>
    <n v="3"/>
    <n v="11"/>
    <x v="1"/>
  </r>
  <r>
    <n v="6200"/>
    <n v="1951"/>
    <x v="0"/>
    <s v="Married"/>
    <n v="75903"/>
    <n v="0"/>
    <n v="1"/>
    <d v="2013-04-08T00:00:00"/>
    <n v="50"/>
    <n v="340"/>
    <n v="108"/>
    <n v="185"/>
    <n v="130"/>
    <n v="38"/>
    <n v="100"/>
    <n v="2"/>
    <n v="6"/>
    <n v="6"/>
    <n v="9"/>
    <n v="3"/>
    <x v="0"/>
    <x v="0"/>
    <x v="0"/>
    <x v="0"/>
    <x v="0"/>
    <n v="0"/>
    <n v="3"/>
    <n v="11"/>
    <x v="1"/>
  </r>
  <r>
    <n v="1403"/>
    <n v="1975"/>
    <x v="4"/>
    <s v="Together"/>
    <n v="34984"/>
    <n v="1"/>
    <n v="1"/>
    <d v="2012-09-06T00:00:00"/>
    <n v="40"/>
    <n v="8"/>
    <n v="4"/>
    <n v="15"/>
    <n v="3"/>
    <n v="5"/>
    <n v="3"/>
    <n v="2"/>
    <n v="1"/>
    <n v="0"/>
    <n v="3"/>
    <n v="7"/>
    <x v="0"/>
    <x v="0"/>
    <x v="0"/>
    <x v="0"/>
    <x v="0"/>
    <n v="0"/>
    <n v="3"/>
    <n v="11"/>
    <x v="1"/>
  </r>
  <r>
    <n v="4827"/>
    <n v="1956"/>
    <x v="1"/>
    <s v="Single"/>
    <n v="54998"/>
    <n v="0"/>
    <n v="1"/>
    <d v="2013-03-10T00:00:00"/>
    <n v="3"/>
    <n v="154"/>
    <n v="22"/>
    <n v="202"/>
    <n v="39"/>
    <n v="30"/>
    <n v="8"/>
    <n v="5"/>
    <n v="4"/>
    <n v="2"/>
    <n v="9"/>
    <n v="4"/>
    <x v="0"/>
    <x v="0"/>
    <x v="0"/>
    <x v="0"/>
    <x v="0"/>
    <n v="0"/>
    <n v="3"/>
    <n v="11"/>
    <x v="0"/>
  </r>
  <r>
    <n v="6250"/>
    <n v="1949"/>
    <x v="1"/>
    <s v="Widow"/>
    <n v="54356"/>
    <n v="0"/>
    <n v="1"/>
    <d v="2012-11-19T00:00:00"/>
    <n v="62"/>
    <n v="710"/>
    <n v="15"/>
    <n v="30"/>
    <n v="20"/>
    <n v="0"/>
    <n v="0"/>
    <n v="3"/>
    <n v="11"/>
    <n v="2"/>
    <n v="8"/>
    <n v="8"/>
    <x v="0"/>
    <x v="0"/>
    <x v="0"/>
    <x v="0"/>
    <x v="0"/>
    <n v="0"/>
    <n v="3"/>
    <n v="11"/>
    <x v="0"/>
  </r>
  <r>
    <n v="9291"/>
    <n v="1959"/>
    <x v="2"/>
    <s v="Married"/>
    <n v="34242"/>
    <n v="0"/>
    <n v="1"/>
    <d v="2014-03-23T00:00:00"/>
    <n v="25"/>
    <n v="8"/>
    <n v="2"/>
    <n v="4"/>
    <n v="0"/>
    <n v="0"/>
    <n v="1"/>
    <n v="1"/>
    <n v="0"/>
    <n v="0"/>
    <n v="3"/>
    <n v="5"/>
    <x v="0"/>
    <x v="0"/>
    <x v="0"/>
    <x v="0"/>
    <x v="0"/>
    <n v="0"/>
    <n v="3"/>
    <n v="11"/>
    <x v="1"/>
  </r>
  <r>
    <n v="2478"/>
    <n v="1973"/>
    <x v="0"/>
    <s v="Married"/>
    <n v="25410"/>
    <n v="1"/>
    <n v="0"/>
    <d v="2013-08-31T00:00:00"/>
    <n v="48"/>
    <n v="2"/>
    <n v="2"/>
    <n v="4"/>
    <n v="13"/>
    <n v="13"/>
    <n v="4"/>
    <n v="1"/>
    <n v="1"/>
    <n v="0"/>
    <n v="4"/>
    <n v="4"/>
    <x v="0"/>
    <x v="0"/>
    <x v="0"/>
    <x v="0"/>
    <x v="0"/>
    <n v="0"/>
    <n v="3"/>
    <n v="11"/>
    <x v="1"/>
  </r>
  <r>
    <n v="1139"/>
    <n v="1984"/>
    <x v="1"/>
    <s v="Married"/>
    <n v="73356"/>
    <n v="0"/>
    <n v="0"/>
    <d v="2014-02-06T00:00:00"/>
    <n v="56"/>
    <n v="1050"/>
    <n v="14"/>
    <n v="322"/>
    <n v="0"/>
    <n v="14"/>
    <n v="112"/>
    <n v="1"/>
    <n v="5"/>
    <n v="11"/>
    <n v="5"/>
    <n v="2"/>
    <x v="1"/>
    <x v="0"/>
    <x v="1"/>
    <x v="1"/>
    <x v="0"/>
    <n v="0"/>
    <n v="3"/>
    <n v="11"/>
    <x v="0"/>
  </r>
  <r>
    <n v="5138"/>
    <n v="1950"/>
    <x v="0"/>
    <s v="Together"/>
    <n v="28320"/>
    <n v="0"/>
    <n v="1"/>
    <d v="2013-01-14T00:00:00"/>
    <n v="68"/>
    <n v="19"/>
    <n v="1"/>
    <n v="14"/>
    <n v="3"/>
    <n v="2"/>
    <n v="4"/>
    <n v="1"/>
    <n v="1"/>
    <n v="0"/>
    <n v="3"/>
    <n v="8"/>
    <x v="0"/>
    <x v="0"/>
    <x v="0"/>
    <x v="0"/>
    <x v="0"/>
    <n v="0"/>
    <n v="3"/>
    <n v="11"/>
    <x v="1"/>
  </r>
  <r>
    <n v="5393"/>
    <n v="1977"/>
    <x v="0"/>
    <s v="Single"/>
    <n v="23763"/>
    <n v="1"/>
    <n v="0"/>
    <d v="2012-08-07T00:00:00"/>
    <n v="64"/>
    <n v="22"/>
    <n v="0"/>
    <n v="6"/>
    <n v="6"/>
    <n v="2"/>
    <n v="6"/>
    <n v="1"/>
    <n v="1"/>
    <n v="0"/>
    <n v="3"/>
    <n v="7"/>
    <x v="0"/>
    <x v="0"/>
    <x v="0"/>
    <x v="0"/>
    <x v="0"/>
    <n v="0"/>
    <n v="3"/>
    <n v="11"/>
    <x v="1"/>
  </r>
  <r>
    <n v="10413"/>
    <n v="1984"/>
    <x v="0"/>
    <s v="Married"/>
    <n v="72570"/>
    <n v="0"/>
    <n v="0"/>
    <d v="2014-04-25T00:00:00"/>
    <n v="67"/>
    <n v="274"/>
    <n v="83"/>
    <n v="216"/>
    <n v="151"/>
    <n v="141"/>
    <n v="224"/>
    <n v="1"/>
    <n v="4"/>
    <n v="6"/>
    <n v="12"/>
    <n v="1"/>
    <x v="0"/>
    <x v="0"/>
    <x v="0"/>
    <x v="0"/>
    <x v="0"/>
    <n v="0"/>
    <n v="3"/>
    <n v="11"/>
    <x v="1"/>
  </r>
  <r>
    <n v="5015"/>
    <n v="1976"/>
    <x v="2"/>
    <s v="Married"/>
    <n v="34529"/>
    <n v="1"/>
    <n v="0"/>
    <d v="2012-09-14T00:00:00"/>
    <n v="94"/>
    <n v="68"/>
    <n v="6"/>
    <n v="38"/>
    <n v="3"/>
    <n v="6"/>
    <n v="41"/>
    <n v="2"/>
    <n v="2"/>
    <n v="2"/>
    <n v="3"/>
    <n v="7"/>
    <x v="0"/>
    <x v="0"/>
    <x v="0"/>
    <x v="0"/>
    <x v="0"/>
    <n v="0"/>
    <n v="3"/>
    <n v="11"/>
    <x v="1"/>
  </r>
  <r>
    <n v="10868"/>
    <n v="1951"/>
    <x v="0"/>
    <s v="Widow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x v="0"/>
    <x v="0"/>
    <x v="0"/>
    <x v="0"/>
    <x v="0"/>
    <n v="0"/>
    <n v="3"/>
    <n v="11"/>
    <x v="1"/>
  </r>
  <r>
    <n v="10676"/>
    <n v="1982"/>
    <x v="0"/>
    <s v="Married"/>
    <n v="63211"/>
    <n v="0"/>
    <n v="0"/>
    <d v="2012-11-02T00:00:00"/>
    <n v="3"/>
    <n v="145"/>
    <n v="193"/>
    <n v="459"/>
    <n v="205"/>
    <n v="26"/>
    <n v="145"/>
    <n v="2"/>
    <n v="3"/>
    <n v="8"/>
    <n v="7"/>
    <n v="2"/>
    <x v="0"/>
    <x v="0"/>
    <x v="0"/>
    <x v="0"/>
    <x v="0"/>
    <n v="0"/>
    <n v="3"/>
    <n v="11"/>
    <x v="0"/>
  </r>
  <r>
    <n v="2495"/>
    <n v="1974"/>
    <x v="2"/>
    <s v="Married"/>
    <n v="83891"/>
    <n v="0"/>
    <n v="1"/>
    <d v="2014-06-20T00:00:00"/>
    <n v="24"/>
    <n v="217"/>
    <n v="38"/>
    <n v="350"/>
    <n v="111"/>
    <n v="85"/>
    <n v="15"/>
    <n v="1"/>
    <n v="4"/>
    <n v="7"/>
    <n v="10"/>
    <n v="1"/>
    <x v="0"/>
    <x v="0"/>
    <x v="0"/>
    <x v="0"/>
    <x v="0"/>
    <n v="0"/>
    <n v="3"/>
    <n v="11"/>
    <x v="1"/>
  </r>
  <r>
    <n v="7842"/>
    <n v="1968"/>
    <x v="0"/>
    <s v="Single"/>
    <n v="36065"/>
    <n v="1"/>
    <n v="1"/>
    <d v="2013-03-31T00:00:00"/>
    <n v="54"/>
    <n v="18"/>
    <n v="7"/>
    <n v="34"/>
    <n v="10"/>
    <n v="2"/>
    <n v="3"/>
    <n v="3"/>
    <n v="3"/>
    <n v="0"/>
    <n v="3"/>
    <n v="8"/>
    <x v="0"/>
    <x v="0"/>
    <x v="0"/>
    <x v="0"/>
    <x v="0"/>
    <n v="0"/>
    <n v="3"/>
    <n v="11"/>
    <x v="1"/>
  </r>
  <r>
    <n v="9955"/>
    <n v="1954"/>
    <x v="0"/>
    <s v="Together"/>
    <n v="39898"/>
    <n v="0"/>
    <n v="1"/>
    <d v="2013-02-12T00:00:00"/>
    <n v="20"/>
    <n v="69"/>
    <n v="8"/>
    <n v="26"/>
    <n v="12"/>
    <n v="7"/>
    <n v="12"/>
    <n v="2"/>
    <n v="3"/>
    <n v="0"/>
    <n v="4"/>
    <n v="7"/>
    <x v="0"/>
    <x v="0"/>
    <x v="0"/>
    <x v="0"/>
    <x v="0"/>
    <n v="0"/>
    <n v="3"/>
    <n v="11"/>
    <x v="1"/>
  </r>
  <r>
    <n v="6663"/>
    <n v="1940"/>
    <x v="1"/>
    <s v="Single"/>
    <n v="51141"/>
    <n v="0"/>
    <n v="0"/>
    <d v="2013-07-08T00:00:00"/>
    <n v="96"/>
    <n v="144"/>
    <n v="0"/>
    <n v="7"/>
    <n v="0"/>
    <n v="0"/>
    <n v="6"/>
    <n v="1"/>
    <n v="3"/>
    <n v="1"/>
    <n v="4"/>
    <n v="5"/>
    <x v="0"/>
    <x v="0"/>
    <x v="0"/>
    <x v="0"/>
    <x v="0"/>
    <n v="0"/>
    <n v="3"/>
    <n v="11"/>
    <x v="1"/>
  </r>
  <r>
    <n v="2162"/>
    <n v="1976"/>
    <x v="0"/>
    <s v="Married"/>
    <n v="56939"/>
    <n v="0"/>
    <n v="1"/>
    <d v="2013-09-18T00:00:00"/>
    <n v="19"/>
    <n v="256"/>
    <n v="34"/>
    <n v="103"/>
    <n v="90"/>
    <n v="29"/>
    <n v="49"/>
    <n v="2"/>
    <n v="3"/>
    <n v="3"/>
    <n v="10"/>
    <n v="3"/>
    <x v="0"/>
    <x v="0"/>
    <x v="0"/>
    <x v="0"/>
    <x v="0"/>
    <n v="0"/>
    <n v="3"/>
    <n v="11"/>
    <x v="1"/>
  </r>
  <r>
    <n v="3434"/>
    <n v="1951"/>
    <x v="0"/>
    <s v="Single"/>
    <n v="80872"/>
    <n v="0"/>
    <n v="0"/>
    <d v="2014-05-12T00:00:00"/>
    <n v="60"/>
    <n v="483"/>
    <n v="72"/>
    <n v="567"/>
    <n v="94"/>
    <n v="12"/>
    <n v="108"/>
    <n v="1"/>
    <n v="4"/>
    <n v="4"/>
    <n v="10"/>
    <n v="1"/>
    <x v="0"/>
    <x v="0"/>
    <x v="0"/>
    <x v="0"/>
    <x v="0"/>
    <n v="0"/>
    <n v="3"/>
    <n v="11"/>
    <x v="1"/>
  </r>
  <r>
    <n v="7919"/>
    <n v="1976"/>
    <x v="1"/>
    <s v="Together"/>
    <n v="72335"/>
    <n v="0"/>
    <n v="0"/>
    <d v="2012-08-13T00:00:00"/>
    <n v="2"/>
    <n v="1285"/>
    <n v="105"/>
    <n v="653"/>
    <n v="28"/>
    <n v="21"/>
    <n v="0"/>
    <n v="1"/>
    <n v="10"/>
    <n v="4"/>
    <n v="8"/>
    <n v="8"/>
    <x v="0"/>
    <x v="0"/>
    <x v="0"/>
    <x v="0"/>
    <x v="0"/>
    <n v="0"/>
    <n v="3"/>
    <n v="11"/>
    <x v="0"/>
  </r>
  <r>
    <n v="5626"/>
    <n v="1964"/>
    <x v="1"/>
    <s v="Single"/>
    <n v="61798"/>
    <n v="0"/>
    <n v="0"/>
    <d v="2013-11-23T00:00:00"/>
    <n v="13"/>
    <n v="338"/>
    <n v="4"/>
    <n v="89"/>
    <n v="11"/>
    <n v="8"/>
    <n v="13"/>
    <n v="1"/>
    <n v="4"/>
    <n v="2"/>
    <n v="9"/>
    <n v="4"/>
    <x v="0"/>
    <x v="0"/>
    <x v="0"/>
    <x v="0"/>
    <x v="0"/>
    <n v="0"/>
    <n v="3"/>
    <n v="11"/>
    <x v="1"/>
  </r>
  <r>
    <n v="6428"/>
    <n v="1950"/>
    <x v="1"/>
    <s v="Widow"/>
    <n v="76842"/>
    <n v="0"/>
    <n v="0"/>
    <d v="2014-05-03T00:00:00"/>
    <n v="37"/>
    <n v="605"/>
    <n v="10"/>
    <n v="345"/>
    <n v="84"/>
    <n v="54"/>
    <n v="32"/>
    <n v="1"/>
    <n v="1"/>
    <n v="8"/>
    <n v="7"/>
    <n v="0"/>
    <x v="0"/>
    <x v="0"/>
    <x v="0"/>
    <x v="0"/>
    <x v="0"/>
    <n v="0"/>
    <n v="3"/>
    <n v="11"/>
    <x v="1"/>
  </r>
  <r>
    <n v="8514"/>
    <n v="1976"/>
    <x v="0"/>
    <s v="Together"/>
    <n v="29478"/>
    <n v="1"/>
    <n v="0"/>
    <d v="2014-01-17T00:00:00"/>
    <n v="59"/>
    <n v="8"/>
    <n v="0"/>
    <n v="7"/>
    <n v="3"/>
    <n v="1"/>
    <n v="1"/>
    <n v="1"/>
    <n v="1"/>
    <n v="0"/>
    <n v="3"/>
    <n v="6"/>
    <x v="0"/>
    <x v="0"/>
    <x v="0"/>
    <x v="0"/>
    <x v="0"/>
    <n v="0"/>
    <n v="3"/>
    <n v="11"/>
    <x v="1"/>
  </r>
  <r>
    <n v="10448"/>
    <n v="1956"/>
    <x v="0"/>
    <s v="Single"/>
    <n v="46998"/>
    <n v="0"/>
    <n v="1"/>
    <d v="2012-10-22T00:00:00"/>
    <n v="55"/>
    <n v="172"/>
    <n v="41"/>
    <n v="86"/>
    <n v="45"/>
    <n v="6"/>
    <n v="27"/>
    <n v="5"/>
    <n v="5"/>
    <n v="3"/>
    <n v="5"/>
    <n v="7"/>
    <x v="1"/>
    <x v="0"/>
    <x v="0"/>
    <x v="0"/>
    <x v="0"/>
    <n v="0"/>
    <n v="3"/>
    <n v="11"/>
    <x v="1"/>
  </r>
  <r>
    <n v="2109"/>
    <n v="1990"/>
    <x v="0"/>
    <s v="Single"/>
    <n v="96843"/>
    <n v="0"/>
    <n v="0"/>
    <d v="2013-04-23T00:00:00"/>
    <n v="60"/>
    <n v="448"/>
    <n v="71"/>
    <n v="951"/>
    <n v="40"/>
    <n v="17"/>
    <n v="17"/>
    <n v="1"/>
    <n v="6"/>
    <n v="11"/>
    <n v="10"/>
    <n v="2"/>
    <x v="0"/>
    <x v="0"/>
    <x v="1"/>
    <x v="0"/>
    <x v="0"/>
    <n v="0"/>
    <n v="3"/>
    <n v="11"/>
    <x v="0"/>
  </r>
  <r>
    <n v="7530"/>
    <n v="1950"/>
    <x v="1"/>
    <s v="Widow"/>
    <n v="56551"/>
    <n v="1"/>
    <n v="1"/>
    <d v="2014-05-07T00:00:00"/>
    <n v="48"/>
    <n v="67"/>
    <n v="4"/>
    <n v="32"/>
    <n v="17"/>
    <n v="2"/>
    <n v="16"/>
    <n v="3"/>
    <n v="2"/>
    <n v="1"/>
    <n v="4"/>
    <n v="4"/>
    <x v="0"/>
    <x v="0"/>
    <x v="0"/>
    <x v="0"/>
    <x v="0"/>
    <n v="0"/>
    <n v="3"/>
    <n v="11"/>
    <x v="1"/>
  </r>
  <r>
    <n v="8925"/>
    <n v="1965"/>
    <x v="2"/>
    <s v="Married"/>
    <n v="70053"/>
    <n v="0"/>
    <n v="1"/>
    <d v="2013-07-03T00:00:00"/>
    <n v="38"/>
    <n v="512"/>
    <n v="53"/>
    <n v="98"/>
    <n v="81"/>
    <n v="179"/>
    <n v="89"/>
    <n v="3"/>
    <n v="8"/>
    <n v="5"/>
    <n v="10"/>
    <n v="5"/>
    <x v="0"/>
    <x v="0"/>
    <x v="0"/>
    <x v="0"/>
    <x v="0"/>
    <n v="0"/>
    <n v="3"/>
    <n v="11"/>
    <x v="1"/>
  </r>
  <r>
    <n v="3009"/>
    <n v="1962"/>
    <x v="1"/>
    <s v="Widow"/>
    <n v="71670"/>
    <n v="0"/>
    <n v="0"/>
    <d v="2013-07-09T00:00:00"/>
    <n v="8"/>
    <n v="1462"/>
    <n v="16"/>
    <n v="128"/>
    <n v="0"/>
    <n v="0"/>
    <n v="160"/>
    <n v="1"/>
    <n v="5"/>
    <n v="3"/>
    <n v="6"/>
    <n v="6"/>
    <x v="0"/>
    <x v="1"/>
    <x v="1"/>
    <x v="0"/>
    <x v="1"/>
    <n v="0"/>
    <n v="3"/>
    <n v="11"/>
    <x v="0"/>
  </r>
  <r>
    <n v="6355"/>
    <n v="1978"/>
    <x v="0"/>
    <s v="Married"/>
    <n v="44359"/>
    <n v="1"/>
    <n v="1"/>
    <d v="2014-06-17T00:00:00"/>
    <n v="19"/>
    <n v="20"/>
    <n v="0"/>
    <n v="14"/>
    <n v="7"/>
    <n v="3"/>
    <n v="1"/>
    <n v="3"/>
    <n v="2"/>
    <n v="0"/>
    <n v="4"/>
    <n v="3"/>
    <x v="0"/>
    <x v="0"/>
    <x v="0"/>
    <x v="0"/>
    <x v="0"/>
    <n v="0"/>
    <n v="3"/>
    <n v="11"/>
    <x v="1"/>
  </r>
  <r>
    <n v="3517"/>
    <n v="1952"/>
    <x v="0"/>
    <s v="Single"/>
    <n v="40887"/>
    <n v="1"/>
    <n v="1"/>
    <d v="2013-05-06T00:00:00"/>
    <n v="32"/>
    <n v="50"/>
    <n v="4"/>
    <n v="44"/>
    <n v="10"/>
    <n v="10"/>
    <n v="43"/>
    <n v="3"/>
    <n v="3"/>
    <n v="1"/>
    <n v="3"/>
    <n v="9"/>
    <x v="0"/>
    <x v="0"/>
    <x v="0"/>
    <x v="0"/>
    <x v="0"/>
    <n v="0"/>
    <n v="3"/>
    <n v="11"/>
    <x v="0"/>
  </r>
  <r>
    <n v="1158"/>
    <n v="1966"/>
    <x v="0"/>
    <s v="Divorced"/>
    <n v="48877"/>
    <n v="0"/>
    <n v="1"/>
    <d v="2014-01-05T00:00:00"/>
    <n v="27"/>
    <n v="102"/>
    <n v="1"/>
    <n v="15"/>
    <n v="2"/>
    <n v="0"/>
    <n v="24"/>
    <n v="1"/>
    <n v="3"/>
    <n v="0"/>
    <n v="4"/>
    <n v="7"/>
    <x v="0"/>
    <x v="0"/>
    <x v="0"/>
    <x v="0"/>
    <x v="0"/>
    <n v="0"/>
    <n v="3"/>
    <n v="11"/>
    <x v="1"/>
  </r>
  <r>
    <n v="6203"/>
    <n v="1947"/>
    <x v="0"/>
    <s v="Together"/>
    <n v="74485"/>
    <n v="0"/>
    <n v="0"/>
    <d v="2013-08-24T00:00:00"/>
    <n v="58"/>
    <n v="499"/>
    <n v="149"/>
    <n v="815"/>
    <n v="173"/>
    <n v="49"/>
    <n v="49"/>
    <n v="1"/>
    <n v="6"/>
    <n v="7"/>
    <n v="12"/>
    <n v="3"/>
    <x v="0"/>
    <x v="0"/>
    <x v="0"/>
    <x v="0"/>
    <x v="0"/>
    <n v="0"/>
    <n v="3"/>
    <n v="11"/>
    <x v="1"/>
  </r>
  <r>
    <n v="7165"/>
    <n v="1972"/>
    <x v="0"/>
    <s v="Together"/>
    <n v="64474"/>
    <n v="0"/>
    <n v="1"/>
    <d v="2013-10-22T00:00:00"/>
    <n v="59"/>
    <n v="381"/>
    <n v="35"/>
    <n v="172"/>
    <n v="56"/>
    <n v="86"/>
    <n v="93"/>
    <n v="2"/>
    <n v="8"/>
    <n v="2"/>
    <n v="10"/>
    <n v="5"/>
    <x v="0"/>
    <x v="0"/>
    <x v="0"/>
    <x v="0"/>
    <x v="0"/>
    <n v="0"/>
    <n v="3"/>
    <n v="11"/>
    <x v="1"/>
  </r>
  <r>
    <n v="3595"/>
    <n v="1963"/>
    <x v="0"/>
    <s v="Together"/>
    <n v="77226"/>
    <n v="0"/>
    <n v="1"/>
    <d v="2014-02-28T00:00:00"/>
    <n v="29"/>
    <n v="631"/>
    <n v="43"/>
    <n v="239"/>
    <n v="128"/>
    <n v="76"/>
    <n v="21"/>
    <n v="2"/>
    <n v="6"/>
    <n v="8"/>
    <n v="12"/>
    <n v="3"/>
    <x v="0"/>
    <x v="0"/>
    <x v="0"/>
    <x v="0"/>
    <x v="0"/>
    <n v="0"/>
    <n v="3"/>
    <n v="11"/>
    <x v="1"/>
  </r>
  <r>
    <n v="8537"/>
    <n v="1949"/>
    <x v="0"/>
    <s v="Widow"/>
    <n v="72643"/>
    <n v="0"/>
    <n v="0"/>
    <d v="2013-02-27T00:00:00"/>
    <n v="60"/>
    <n v="526"/>
    <n v="80"/>
    <n v="553"/>
    <n v="123"/>
    <n v="94"/>
    <n v="53"/>
    <n v="1"/>
    <n v="3"/>
    <n v="10"/>
    <n v="7"/>
    <n v="2"/>
    <x v="0"/>
    <x v="0"/>
    <x v="0"/>
    <x v="1"/>
    <x v="0"/>
    <n v="0"/>
    <n v="3"/>
    <n v="11"/>
    <x v="0"/>
  </r>
  <r>
    <n v="4331"/>
    <n v="1978"/>
    <x v="2"/>
    <s v="Together"/>
    <n v="85738"/>
    <n v="0"/>
    <n v="0"/>
    <d v="2014-01-23T00:00:00"/>
    <n v="41"/>
    <n v="913"/>
    <n v="26"/>
    <n v="376"/>
    <n v="17"/>
    <n v="26"/>
    <n v="13"/>
    <n v="1"/>
    <n v="3"/>
    <n v="6"/>
    <n v="11"/>
    <n v="1"/>
    <x v="0"/>
    <x v="1"/>
    <x v="1"/>
    <x v="0"/>
    <x v="0"/>
    <n v="0"/>
    <n v="3"/>
    <n v="11"/>
    <x v="1"/>
  </r>
  <r>
    <n v="6281"/>
    <n v="1966"/>
    <x v="0"/>
    <s v="Divorced"/>
    <n v="55686"/>
    <n v="0"/>
    <n v="1"/>
    <d v="2013-02-14T00:00:00"/>
    <n v="27"/>
    <n v="673"/>
    <n v="0"/>
    <n v="199"/>
    <n v="37"/>
    <n v="47"/>
    <n v="26"/>
    <n v="2"/>
    <n v="6"/>
    <n v="3"/>
    <n v="5"/>
    <n v="4"/>
    <x v="1"/>
    <x v="0"/>
    <x v="0"/>
    <x v="0"/>
    <x v="0"/>
    <n v="0"/>
    <n v="3"/>
    <n v="11"/>
    <x v="1"/>
  </r>
  <r>
    <n v="4338"/>
    <n v="1983"/>
    <x v="0"/>
    <s v="Single"/>
    <n v="39062"/>
    <n v="1"/>
    <n v="0"/>
    <d v="2014-03-25T00:00:00"/>
    <n v="28"/>
    <n v="23"/>
    <n v="0"/>
    <n v="9"/>
    <n v="0"/>
    <n v="0"/>
    <n v="12"/>
    <n v="1"/>
    <n v="1"/>
    <n v="0"/>
    <n v="3"/>
    <n v="4"/>
    <x v="1"/>
    <x v="0"/>
    <x v="0"/>
    <x v="0"/>
    <x v="0"/>
    <n v="0"/>
    <n v="3"/>
    <n v="11"/>
    <x v="1"/>
  </r>
  <r>
    <n v="2452"/>
    <n v="1971"/>
    <x v="0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x v="0"/>
    <x v="0"/>
    <x v="0"/>
    <x v="0"/>
    <x v="0"/>
    <n v="0"/>
    <n v="3"/>
    <n v="11"/>
    <x v="0"/>
  </r>
  <r>
    <n v="9507"/>
    <n v="1975"/>
    <x v="0"/>
    <s v="Married"/>
    <n v="40794"/>
    <n v="0"/>
    <n v="1"/>
    <d v="2013-04-07T00:00:00"/>
    <n v="18"/>
    <n v="261"/>
    <n v="23"/>
    <n v="73"/>
    <n v="4"/>
    <n v="23"/>
    <n v="50"/>
    <n v="2"/>
    <n v="6"/>
    <n v="3"/>
    <n v="5"/>
    <n v="7"/>
    <x v="0"/>
    <x v="0"/>
    <x v="0"/>
    <x v="0"/>
    <x v="0"/>
    <n v="0"/>
    <n v="3"/>
    <n v="11"/>
    <x v="1"/>
  </r>
  <r>
    <n v="8360"/>
    <n v="1971"/>
    <x v="4"/>
    <s v="Married"/>
    <n v="54690"/>
    <n v="1"/>
    <n v="1"/>
    <d v="2013-11-07T00:00:00"/>
    <n v="76"/>
    <n v="111"/>
    <n v="16"/>
    <n v="37"/>
    <n v="7"/>
    <n v="9"/>
    <n v="18"/>
    <n v="3"/>
    <n v="3"/>
    <n v="1"/>
    <n v="5"/>
    <n v="3"/>
    <x v="0"/>
    <x v="0"/>
    <x v="0"/>
    <x v="0"/>
    <x v="0"/>
    <n v="0"/>
    <n v="3"/>
    <n v="11"/>
    <x v="1"/>
  </r>
  <r>
    <n v="10311"/>
    <n v="1969"/>
    <x v="0"/>
    <s v="Married"/>
    <n v="4428"/>
    <n v="0"/>
    <n v="1"/>
    <d v="2013-10-05T00:00:00"/>
    <n v="0"/>
    <n v="16"/>
    <n v="4"/>
    <n v="12"/>
    <n v="2"/>
    <n v="4"/>
    <n v="321"/>
    <n v="0"/>
    <n v="25"/>
    <n v="0"/>
    <n v="0"/>
    <n v="1"/>
    <x v="0"/>
    <x v="0"/>
    <x v="0"/>
    <x v="0"/>
    <x v="0"/>
    <n v="0"/>
    <n v="3"/>
    <n v="11"/>
    <x v="1"/>
  </r>
  <r>
    <n v="5117"/>
    <n v="1963"/>
    <x v="4"/>
    <s v="Married"/>
    <n v="32632"/>
    <n v="0"/>
    <n v="0"/>
    <d v="2012-08-02T00:00:00"/>
    <n v="32"/>
    <n v="63"/>
    <n v="151"/>
    <n v="137"/>
    <n v="153"/>
    <n v="19"/>
    <n v="53"/>
    <n v="2"/>
    <n v="4"/>
    <n v="4"/>
    <n v="8"/>
    <n v="5"/>
    <x v="0"/>
    <x v="0"/>
    <x v="0"/>
    <x v="0"/>
    <x v="0"/>
    <n v="0"/>
    <n v="3"/>
    <n v="11"/>
    <x v="1"/>
  </r>
  <r>
    <n v="4867"/>
    <n v="1968"/>
    <x v="1"/>
    <s v="Single"/>
    <n v="38236"/>
    <n v="1"/>
    <n v="1"/>
    <d v="2013-09-20T00:00:00"/>
    <n v="2"/>
    <n v="58"/>
    <n v="0"/>
    <n v="18"/>
    <n v="2"/>
    <n v="0"/>
    <n v="10"/>
    <n v="4"/>
    <n v="3"/>
    <n v="0"/>
    <n v="4"/>
    <n v="7"/>
    <x v="0"/>
    <x v="0"/>
    <x v="0"/>
    <x v="0"/>
    <x v="0"/>
    <n v="0"/>
    <n v="3"/>
    <n v="11"/>
    <x v="1"/>
  </r>
  <r>
    <n v="9289"/>
    <n v="1979"/>
    <x v="0"/>
    <s v="Married"/>
    <n v="36781"/>
    <n v="1"/>
    <n v="0"/>
    <d v="2014-04-10T00:00:00"/>
    <n v="16"/>
    <n v="29"/>
    <n v="1"/>
    <n v="17"/>
    <n v="0"/>
    <n v="3"/>
    <n v="13"/>
    <n v="1"/>
    <n v="2"/>
    <n v="1"/>
    <n v="2"/>
    <n v="8"/>
    <x v="0"/>
    <x v="0"/>
    <x v="0"/>
    <x v="0"/>
    <x v="0"/>
    <n v="0"/>
    <n v="3"/>
    <n v="11"/>
    <x v="0"/>
  </r>
  <r>
    <n v="10913"/>
    <n v="1984"/>
    <x v="2"/>
    <s v="Single"/>
    <n v="31385"/>
    <n v="1"/>
    <n v="0"/>
    <d v="2012-12-05T00:00:00"/>
    <n v="56"/>
    <n v="3"/>
    <n v="2"/>
    <n v="12"/>
    <n v="0"/>
    <n v="1"/>
    <n v="9"/>
    <n v="1"/>
    <n v="1"/>
    <n v="0"/>
    <n v="2"/>
    <n v="8"/>
    <x v="1"/>
    <x v="0"/>
    <x v="0"/>
    <x v="0"/>
    <x v="0"/>
    <n v="0"/>
    <n v="3"/>
    <n v="11"/>
    <x v="0"/>
  </r>
  <r>
    <n v="3032"/>
    <n v="1984"/>
    <x v="0"/>
    <s v="Married"/>
    <n v="24570"/>
    <n v="1"/>
    <n v="0"/>
    <d v="2013-02-27T00:00:00"/>
    <n v="97"/>
    <n v="28"/>
    <n v="34"/>
    <n v="62"/>
    <n v="11"/>
    <n v="14"/>
    <n v="44"/>
    <n v="3"/>
    <n v="4"/>
    <n v="0"/>
    <n v="4"/>
    <n v="9"/>
    <x v="0"/>
    <x v="0"/>
    <x v="0"/>
    <x v="0"/>
    <x v="0"/>
    <n v="0"/>
    <n v="3"/>
    <n v="11"/>
    <x v="1"/>
  </r>
  <r>
    <n v="8524"/>
    <n v="1974"/>
    <x v="1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x v="0"/>
    <x v="0"/>
    <x v="0"/>
    <x v="0"/>
    <x v="0"/>
    <n v="0"/>
    <n v="3"/>
    <n v="11"/>
    <x v="0"/>
  </r>
  <r>
    <n v="3334"/>
    <n v="1951"/>
    <x v="0"/>
    <s v="Married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x v="0"/>
    <x v="0"/>
    <x v="1"/>
    <x v="1"/>
    <x v="0"/>
    <n v="0"/>
    <n v="3"/>
    <n v="11"/>
    <x v="1"/>
  </r>
  <r>
    <n v="4470"/>
    <n v="1962"/>
    <x v="2"/>
    <s v="Married"/>
    <n v="58646"/>
    <n v="0"/>
    <n v="1"/>
    <d v="2013-06-10T00:00:00"/>
    <n v="3"/>
    <n v="62"/>
    <n v="1"/>
    <n v="44"/>
    <n v="6"/>
    <n v="5"/>
    <n v="22"/>
    <n v="1"/>
    <n v="2"/>
    <n v="1"/>
    <n v="4"/>
    <n v="4"/>
    <x v="0"/>
    <x v="0"/>
    <x v="0"/>
    <x v="0"/>
    <x v="0"/>
    <n v="0"/>
    <n v="3"/>
    <n v="11"/>
    <x v="1"/>
  </r>
  <r>
    <n v="1406"/>
    <n v="1975"/>
    <x v="0"/>
    <s v="Single"/>
    <n v="53201"/>
    <n v="1"/>
    <n v="1"/>
    <d v="2013-02-12T00:00:00"/>
    <n v="49"/>
    <n v="280"/>
    <n v="7"/>
    <n v="81"/>
    <n v="20"/>
    <n v="0"/>
    <n v="27"/>
    <n v="8"/>
    <n v="6"/>
    <n v="3"/>
    <n v="5"/>
    <n v="7"/>
    <x v="0"/>
    <x v="0"/>
    <x v="0"/>
    <x v="0"/>
    <x v="0"/>
    <n v="0"/>
    <n v="3"/>
    <n v="11"/>
    <x v="1"/>
  </r>
  <r>
    <n v="8619"/>
    <n v="1957"/>
    <x v="0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x v="0"/>
    <x v="0"/>
    <x v="0"/>
    <x v="0"/>
    <x v="0"/>
    <n v="0"/>
    <n v="3"/>
    <n v="11"/>
    <x v="1"/>
  </r>
  <r>
    <n v="10821"/>
    <n v="1978"/>
    <x v="0"/>
    <s v="Married"/>
    <n v="57113"/>
    <n v="1"/>
    <n v="1"/>
    <d v="2013-02-06T00:00:00"/>
    <n v="45"/>
    <n v="182"/>
    <n v="4"/>
    <n v="33"/>
    <n v="0"/>
    <n v="2"/>
    <n v="42"/>
    <n v="6"/>
    <n v="4"/>
    <n v="1"/>
    <n v="5"/>
    <n v="7"/>
    <x v="0"/>
    <x v="0"/>
    <x v="0"/>
    <x v="0"/>
    <x v="0"/>
    <n v="0"/>
    <n v="3"/>
    <n v="11"/>
    <x v="1"/>
  </r>
  <r>
    <n v="4552"/>
    <n v="1991"/>
    <x v="0"/>
    <s v="Married"/>
    <n v="51373"/>
    <n v="0"/>
    <n v="0"/>
    <d v="2013-06-22T00:00:00"/>
    <n v="37"/>
    <n v="83"/>
    <n v="2"/>
    <n v="101"/>
    <n v="64"/>
    <n v="26"/>
    <n v="117"/>
    <n v="1"/>
    <n v="3"/>
    <n v="5"/>
    <n v="3"/>
    <n v="4"/>
    <x v="0"/>
    <x v="0"/>
    <x v="0"/>
    <x v="0"/>
    <x v="0"/>
    <n v="0"/>
    <n v="3"/>
    <n v="11"/>
    <x v="1"/>
  </r>
  <r>
    <n v="898"/>
    <n v="1986"/>
    <x v="0"/>
    <s v="Married"/>
    <n v="23477"/>
    <n v="1"/>
    <n v="0"/>
    <d v="2013-10-21T00:00:00"/>
    <n v="39"/>
    <n v="38"/>
    <n v="15"/>
    <n v="54"/>
    <n v="3"/>
    <n v="8"/>
    <n v="29"/>
    <n v="3"/>
    <n v="3"/>
    <n v="0"/>
    <n v="4"/>
    <n v="8"/>
    <x v="0"/>
    <x v="0"/>
    <x v="0"/>
    <x v="0"/>
    <x v="0"/>
    <n v="0"/>
    <n v="3"/>
    <n v="11"/>
    <x v="1"/>
  </r>
  <r>
    <n v="9797"/>
    <n v="1956"/>
    <x v="0"/>
    <s v="Married"/>
    <n v="58116"/>
    <n v="0"/>
    <n v="1"/>
    <d v="2014-04-13T00:00:00"/>
    <n v="38"/>
    <n v="228"/>
    <n v="19"/>
    <n v="130"/>
    <n v="4"/>
    <n v="11"/>
    <n v="51"/>
    <n v="2"/>
    <n v="3"/>
    <n v="3"/>
    <n v="8"/>
    <n v="2"/>
    <x v="0"/>
    <x v="0"/>
    <x v="0"/>
    <x v="0"/>
    <x v="0"/>
    <n v="0"/>
    <n v="3"/>
    <n v="11"/>
    <x v="1"/>
  </r>
  <r>
    <n v="10949"/>
    <n v="1963"/>
    <x v="1"/>
    <s v="Divorced"/>
    <n v="72968"/>
    <n v="0"/>
    <n v="0"/>
    <d v="2013-12-16T00:00:00"/>
    <n v="8"/>
    <n v="1092"/>
    <n v="37"/>
    <n v="592"/>
    <n v="145"/>
    <n v="37"/>
    <n v="55"/>
    <n v="1"/>
    <n v="5"/>
    <n v="5"/>
    <n v="8"/>
    <n v="3"/>
    <x v="0"/>
    <x v="0"/>
    <x v="0"/>
    <x v="1"/>
    <x v="0"/>
    <n v="0"/>
    <n v="3"/>
    <n v="11"/>
    <x v="0"/>
  </r>
  <r>
    <n v="8212"/>
    <n v="1971"/>
    <x v="2"/>
    <s v="Married"/>
    <n v="39791"/>
    <n v="0"/>
    <n v="1"/>
    <d v="2013-03-28T00:00:00"/>
    <n v="89"/>
    <n v="85"/>
    <n v="15"/>
    <n v="27"/>
    <n v="13"/>
    <n v="13"/>
    <n v="21"/>
    <n v="2"/>
    <n v="3"/>
    <n v="1"/>
    <n v="4"/>
    <n v="7"/>
    <x v="0"/>
    <x v="0"/>
    <x v="0"/>
    <x v="0"/>
    <x v="0"/>
    <n v="0"/>
    <n v="3"/>
    <n v="11"/>
    <x v="1"/>
  </r>
  <r>
    <n v="6248"/>
    <n v="1947"/>
    <x v="2"/>
    <s v="Single"/>
    <n v="91712"/>
    <n v="0"/>
    <n v="0"/>
    <d v="2013-10-17T00:00:00"/>
    <n v="47"/>
    <n v="1276"/>
    <n v="24"/>
    <n v="746"/>
    <n v="94"/>
    <n v="29"/>
    <n v="48"/>
    <n v="0"/>
    <n v="9"/>
    <n v="7"/>
    <n v="11"/>
    <n v="3"/>
    <x v="0"/>
    <x v="0"/>
    <x v="1"/>
    <x v="0"/>
    <x v="0"/>
    <n v="0"/>
    <n v="3"/>
    <n v="11"/>
    <x v="0"/>
  </r>
  <r>
    <n v="10164"/>
    <n v="1958"/>
    <x v="0"/>
    <s v="Single"/>
    <n v="94472"/>
    <n v="0"/>
    <n v="1"/>
    <d v="2014-04-03T00:00:00"/>
    <n v="75"/>
    <n v="1017"/>
    <n v="33"/>
    <n v="417"/>
    <n v="108"/>
    <n v="100"/>
    <n v="16"/>
    <n v="1"/>
    <n v="5"/>
    <n v="5"/>
    <n v="5"/>
    <n v="5"/>
    <x v="0"/>
    <x v="1"/>
    <x v="1"/>
    <x v="0"/>
    <x v="0"/>
    <n v="0"/>
    <n v="3"/>
    <n v="11"/>
    <x v="1"/>
  </r>
  <r>
    <n v="4547"/>
    <n v="1960"/>
    <x v="0"/>
    <s v="Together"/>
    <n v="13672"/>
    <n v="1"/>
    <n v="1"/>
    <d v="2013-04-17T00:00:00"/>
    <n v="86"/>
    <n v="6"/>
    <n v="2"/>
    <n v="9"/>
    <n v="2"/>
    <n v="1"/>
    <n v="5"/>
    <n v="2"/>
    <n v="1"/>
    <n v="0"/>
    <n v="3"/>
    <n v="8"/>
    <x v="0"/>
    <x v="0"/>
    <x v="0"/>
    <x v="0"/>
    <x v="0"/>
    <n v="0"/>
    <n v="3"/>
    <n v="11"/>
    <x v="1"/>
  </r>
  <r>
    <n v="6815"/>
    <n v="1980"/>
    <x v="4"/>
    <s v="Married"/>
    <n v="96547"/>
    <n v="0"/>
    <n v="0"/>
    <d v="2014-05-23T00:00:00"/>
    <n v="4"/>
    <n v="448"/>
    <n v="21"/>
    <n v="125"/>
    <n v="52"/>
    <n v="101"/>
    <n v="62"/>
    <n v="0"/>
    <n v="7"/>
    <n v="6"/>
    <n v="8"/>
    <n v="2"/>
    <x v="1"/>
    <x v="0"/>
    <x v="1"/>
    <x v="1"/>
    <x v="0"/>
    <n v="0"/>
    <n v="3"/>
    <n v="11"/>
    <x v="0"/>
  </r>
  <r>
    <n v="4122"/>
    <n v="1975"/>
    <x v="0"/>
    <s v="Married"/>
    <n v="79205"/>
    <n v="0"/>
    <n v="0"/>
    <d v="2012-08-29T00:00:00"/>
    <n v="73"/>
    <n v="504"/>
    <n v="23"/>
    <n v="117"/>
    <n v="179"/>
    <n v="28"/>
    <n v="44"/>
    <n v="1"/>
    <n v="6"/>
    <n v="5"/>
    <n v="4"/>
    <n v="4"/>
    <x v="0"/>
    <x v="0"/>
    <x v="0"/>
    <x v="1"/>
    <x v="0"/>
    <n v="0"/>
    <n v="3"/>
    <n v="11"/>
    <x v="0"/>
  </r>
  <r>
    <n v="10841"/>
    <n v="1975"/>
    <x v="1"/>
    <s v="Together"/>
    <n v="56559"/>
    <n v="0"/>
    <n v="1"/>
    <d v="2012-12-25T00:00:00"/>
    <n v="46"/>
    <n v="226"/>
    <n v="22"/>
    <n v="133"/>
    <n v="41"/>
    <n v="31"/>
    <n v="31"/>
    <n v="3"/>
    <n v="4"/>
    <n v="3"/>
    <n v="8"/>
    <n v="4"/>
    <x v="0"/>
    <x v="0"/>
    <x v="0"/>
    <x v="0"/>
    <x v="0"/>
    <n v="0"/>
    <n v="3"/>
    <n v="11"/>
    <x v="1"/>
  </r>
  <r>
    <n v="5370"/>
    <n v="1973"/>
    <x v="1"/>
    <s v="Married"/>
    <n v="32644"/>
    <n v="1"/>
    <n v="0"/>
    <d v="2013-01-16T00:00:00"/>
    <n v="38"/>
    <n v="239"/>
    <n v="3"/>
    <n v="141"/>
    <n v="0"/>
    <n v="7"/>
    <n v="23"/>
    <n v="4"/>
    <n v="7"/>
    <n v="1"/>
    <n v="6"/>
    <n v="8"/>
    <x v="1"/>
    <x v="0"/>
    <x v="0"/>
    <x v="0"/>
    <x v="0"/>
    <n v="0"/>
    <n v="3"/>
    <n v="11"/>
    <x v="1"/>
  </r>
  <r>
    <n v="176"/>
    <n v="1980"/>
    <x v="4"/>
    <s v="Single"/>
    <n v="67506"/>
    <n v="0"/>
    <n v="1"/>
    <d v="2014-01-02T00:00:00"/>
    <n v="73"/>
    <n v="90"/>
    <n v="38"/>
    <n v="67"/>
    <n v="33"/>
    <n v="36"/>
    <n v="67"/>
    <n v="1"/>
    <n v="4"/>
    <n v="1"/>
    <n v="6"/>
    <n v="3"/>
    <x v="0"/>
    <x v="0"/>
    <x v="0"/>
    <x v="0"/>
    <x v="0"/>
    <n v="0"/>
    <n v="3"/>
    <n v="11"/>
    <x v="1"/>
  </r>
  <r>
    <n v="4860"/>
    <n v="1970"/>
    <x v="0"/>
    <s v="Single"/>
    <n v="24206"/>
    <n v="1"/>
    <n v="0"/>
    <d v="2013-03-08T00:00:00"/>
    <n v="66"/>
    <n v="7"/>
    <n v="2"/>
    <n v="8"/>
    <n v="3"/>
    <n v="2"/>
    <n v="3"/>
    <n v="1"/>
    <n v="1"/>
    <n v="0"/>
    <n v="3"/>
    <n v="6"/>
    <x v="0"/>
    <x v="0"/>
    <x v="0"/>
    <x v="0"/>
    <x v="0"/>
    <n v="0"/>
    <n v="3"/>
    <n v="11"/>
    <x v="1"/>
  </r>
  <r>
    <n v="10757"/>
    <n v="1967"/>
    <x v="1"/>
    <s v="Divorced"/>
    <n v="28420"/>
    <n v="1"/>
    <n v="0"/>
    <d v="2013-12-24T00:00:00"/>
    <n v="36"/>
    <n v="4"/>
    <n v="2"/>
    <n v="5"/>
    <n v="2"/>
    <n v="0"/>
    <n v="0"/>
    <n v="1"/>
    <n v="1"/>
    <n v="0"/>
    <n v="2"/>
    <n v="6"/>
    <x v="0"/>
    <x v="0"/>
    <x v="0"/>
    <x v="0"/>
    <x v="0"/>
    <n v="0"/>
    <n v="3"/>
    <n v="11"/>
    <x v="1"/>
  </r>
  <r>
    <n v="4023"/>
    <n v="1970"/>
    <x v="0"/>
    <s v="Married"/>
    <n v="22979"/>
    <n v="1"/>
    <n v="0"/>
    <d v="2012-09-06T00:00:00"/>
    <n v="29"/>
    <n v="16"/>
    <n v="17"/>
    <n v="19"/>
    <n v="20"/>
    <n v="21"/>
    <n v="22"/>
    <n v="3"/>
    <n v="3"/>
    <n v="2"/>
    <n v="2"/>
    <n v="8"/>
    <x v="0"/>
    <x v="0"/>
    <x v="0"/>
    <x v="0"/>
    <x v="0"/>
    <n v="0"/>
    <n v="3"/>
    <n v="11"/>
    <x v="0"/>
  </r>
  <r>
    <n v="6679"/>
    <n v="1966"/>
    <x v="0"/>
    <s v="Single"/>
    <n v="33279"/>
    <n v="0"/>
    <n v="0"/>
    <d v="2014-06-12T00:00:00"/>
    <n v="29"/>
    <n v="10"/>
    <n v="3"/>
    <n v="3"/>
    <n v="0"/>
    <n v="0"/>
    <n v="0"/>
    <n v="1"/>
    <n v="0"/>
    <n v="0"/>
    <n v="3"/>
    <n v="3"/>
    <x v="0"/>
    <x v="0"/>
    <x v="0"/>
    <x v="0"/>
    <x v="0"/>
    <n v="0"/>
    <n v="3"/>
    <n v="11"/>
    <x v="1"/>
  </r>
  <r>
    <n v="9923"/>
    <n v="1972"/>
    <x v="2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x v="0"/>
    <x v="0"/>
    <x v="0"/>
    <x v="0"/>
    <x v="0"/>
    <n v="0"/>
    <n v="3"/>
    <n v="11"/>
    <x v="1"/>
  </r>
  <r>
    <n v="7181"/>
    <n v="1977"/>
    <x v="0"/>
    <s v="Married"/>
    <n v="30368"/>
    <n v="0"/>
    <n v="1"/>
    <d v="2013-11-07T00:00:00"/>
    <n v="97"/>
    <n v="35"/>
    <n v="0"/>
    <n v="13"/>
    <n v="2"/>
    <n v="0"/>
    <n v="2"/>
    <n v="2"/>
    <n v="2"/>
    <n v="0"/>
    <n v="3"/>
    <n v="8"/>
    <x v="0"/>
    <x v="0"/>
    <x v="0"/>
    <x v="0"/>
    <x v="0"/>
    <n v="0"/>
    <n v="3"/>
    <n v="11"/>
    <x v="1"/>
  </r>
  <r>
    <n v="3599"/>
    <n v="1970"/>
    <x v="0"/>
    <s v="Married"/>
    <n v="63684"/>
    <n v="0"/>
    <n v="1"/>
    <d v="2012-11-26T00:00:00"/>
    <n v="61"/>
    <n v="575"/>
    <n v="80"/>
    <n v="428"/>
    <n v="208"/>
    <n v="93"/>
    <n v="80"/>
    <n v="3"/>
    <n v="8"/>
    <n v="4"/>
    <n v="8"/>
    <n v="5"/>
    <x v="0"/>
    <x v="0"/>
    <x v="0"/>
    <x v="0"/>
    <x v="0"/>
    <n v="0"/>
    <n v="3"/>
    <n v="11"/>
    <x v="1"/>
  </r>
  <r>
    <n v="405"/>
    <n v="1964"/>
    <x v="0"/>
    <s v="Divorced"/>
    <n v="41638"/>
    <n v="0"/>
    <n v="1"/>
    <d v="2013-02-13T00:00:00"/>
    <n v="68"/>
    <n v="315"/>
    <n v="0"/>
    <n v="31"/>
    <n v="4"/>
    <n v="0"/>
    <n v="91"/>
    <n v="4"/>
    <n v="5"/>
    <n v="5"/>
    <n v="3"/>
    <n v="8"/>
    <x v="1"/>
    <x v="0"/>
    <x v="0"/>
    <x v="0"/>
    <x v="0"/>
    <n v="0"/>
    <n v="3"/>
    <n v="11"/>
    <x v="1"/>
  </r>
  <r>
    <n v="6870"/>
    <n v="1959"/>
    <x v="1"/>
    <s v="Divorced"/>
    <n v="68805"/>
    <n v="0"/>
    <n v="1"/>
    <d v="2013-09-17T00:00:00"/>
    <n v="73"/>
    <n v="182"/>
    <n v="2"/>
    <n v="49"/>
    <n v="17"/>
    <n v="13"/>
    <n v="20"/>
    <n v="1"/>
    <n v="3"/>
    <n v="1"/>
    <n v="7"/>
    <n v="2"/>
    <x v="0"/>
    <x v="0"/>
    <x v="0"/>
    <x v="0"/>
    <x v="0"/>
    <n v="0"/>
    <n v="3"/>
    <n v="11"/>
    <x v="1"/>
  </r>
  <r>
    <n v="832"/>
    <n v="1966"/>
    <x v="1"/>
    <s v="Together"/>
    <n v="65814"/>
    <n v="0"/>
    <n v="1"/>
    <d v="2014-03-02T00:00:00"/>
    <n v="90"/>
    <n v="561"/>
    <n v="14"/>
    <n v="113"/>
    <n v="10"/>
    <n v="14"/>
    <n v="35"/>
    <n v="3"/>
    <n v="8"/>
    <n v="2"/>
    <n v="10"/>
    <n v="5"/>
    <x v="0"/>
    <x v="0"/>
    <x v="0"/>
    <x v="0"/>
    <x v="0"/>
    <n v="0"/>
    <n v="3"/>
    <n v="11"/>
    <x v="1"/>
  </r>
  <r>
    <n v="2002"/>
    <n v="1958"/>
    <x v="0"/>
    <s v="Divorced"/>
    <n v="71964"/>
    <n v="0"/>
    <n v="0"/>
    <d v="2013-05-20T00:00:00"/>
    <n v="81"/>
    <n v="587"/>
    <n v="51"/>
    <n v="932"/>
    <n v="180"/>
    <n v="34"/>
    <n v="86"/>
    <n v="1"/>
    <n v="5"/>
    <n v="6"/>
    <n v="5"/>
    <n v="3"/>
    <x v="0"/>
    <x v="0"/>
    <x v="0"/>
    <x v="0"/>
    <x v="0"/>
    <n v="0"/>
    <n v="3"/>
    <n v="11"/>
    <x v="1"/>
  </r>
  <r>
    <n v="3657"/>
    <n v="1986"/>
    <x v="0"/>
    <s v="Single"/>
    <n v="39146"/>
    <n v="1"/>
    <n v="0"/>
    <d v="2013-02-14T00:00:00"/>
    <n v="1"/>
    <n v="94"/>
    <n v="1"/>
    <n v="33"/>
    <n v="13"/>
    <n v="12"/>
    <n v="12"/>
    <n v="3"/>
    <n v="4"/>
    <n v="0"/>
    <n v="4"/>
    <n v="8"/>
    <x v="0"/>
    <x v="0"/>
    <x v="0"/>
    <x v="0"/>
    <x v="0"/>
    <n v="0"/>
    <n v="3"/>
    <n v="11"/>
    <x v="1"/>
  </r>
  <r>
    <n v="500"/>
    <n v="1977"/>
    <x v="0"/>
    <s v="Together"/>
    <n v="96876"/>
    <n v="0"/>
    <n v="0"/>
    <d v="2013-08-06T00:00:00"/>
    <n v="79"/>
    <n v="908"/>
    <n v="43"/>
    <n v="735"/>
    <n v="40"/>
    <n v="194"/>
    <n v="21"/>
    <n v="1"/>
    <n v="7"/>
    <n v="7"/>
    <n v="9"/>
    <n v="2"/>
    <x v="0"/>
    <x v="1"/>
    <x v="1"/>
    <x v="1"/>
    <x v="0"/>
    <n v="0"/>
    <n v="3"/>
    <n v="11"/>
    <x v="0"/>
  </r>
  <r>
    <n v="1951"/>
    <n v="1981"/>
    <x v="3"/>
    <s v="Married"/>
    <n v="34445"/>
    <n v="0"/>
    <n v="0"/>
    <d v="2013-01-27T00:00:00"/>
    <n v="92"/>
    <n v="228"/>
    <n v="122"/>
    <n v="122"/>
    <n v="208"/>
    <n v="129"/>
    <n v="30"/>
    <n v="6"/>
    <n v="11"/>
    <n v="2"/>
    <n v="8"/>
    <n v="9"/>
    <x v="0"/>
    <x v="0"/>
    <x v="0"/>
    <x v="0"/>
    <x v="0"/>
    <n v="0"/>
    <n v="3"/>
    <n v="11"/>
    <x v="1"/>
  </r>
  <r>
    <n v="3262"/>
    <n v="1958"/>
    <x v="0"/>
    <s v="Single"/>
    <n v="68281"/>
    <n v="0"/>
    <n v="0"/>
    <d v="2012-08-07T00:00:00"/>
    <n v="31"/>
    <n v="995"/>
    <n v="112"/>
    <n v="417"/>
    <n v="42"/>
    <n v="48"/>
    <n v="41"/>
    <n v="1"/>
    <n v="2"/>
    <n v="9"/>
    <n v="13"/>
    <n v="5"/>
    <x v="0"/>
    <x v="0"/>
    <x v="0"/>
    <x v="0"/>
    <x v="0"/>
    <n v="0"/>
    <n v="3"/>
    <n v="11"/>
    <x v="0"/>
  </r>
  <r>
    <n v="4102"/>
    <n v="1975"/>
    <x v="4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x v="0"/>
    <x v="0"/>
    <x v="0"/>
    <x v="0"/>
    <x v="0"/>
    <n v="0"/>
    <n v="3"/>
    <n v="11"/>
    <x v="1"/>
  </r>
  <r>
    <n v="7042"/>
    <n v="1983"/>
    <x v="0"/>
    <s v="Married"/>
    <n v="36790"/>
    <n v="0"/>
    <n v="0"/>
    <d v="2013-03-01T00:00:00"/>
    <n v="14"/>
    <n v="3"/>
    <n v="3"/>
    <n v="14"/>
    <n v="15"/>
    <n v="21"/>
    <n v="10"/>
    <n v="1"/>
    <n v="2"/>
    <n v="1"/>
    <n v="2"/>
    <n v="9"/>
    <x v="0"/>
    <x v="0"/>
    <x v="0"/>
    <x v="0"/>
    <x v="0"/>
    <n v="0"/>
    <n v="3"/>
    <n v="11"/>
    <x v="0"/>
  </r>
  <r>
    <n v="10598"/>
    <n v="1967"/>
    <x v="0"/>
    <s v="Together"/>
    <n v="27943"/>
    <n v="1"/>
    <n v="1"/>
    <d v="2013-04-15T00:00:00"/>
    <n v="89"/>
    <n v="12"/>
    <n v="1"/>
    <n v="16"/>
    <n v="4"/>
    <n v="1"/>
    <n v="3"/>
    <n v="3"/>
    <n v="2"/>
    <n v="0"/>
    <n v="3"/>
    <n v="8"/>
    <x v="0"/>
    <x v="0"/>
    <x v="0"/>
    <x v="0"/>
    <x v="0"/>
    <n v="0"/>
    <n v="3"/>
    <n v="11"/>
    <x v="1"/>
  </r>
  <r>
    <n v="255"/>
    <n v="1951"/>
    <x v="0"/>
    <s v="Divorced"/>
    <n v="22263"/>
    <n v="1"/>
    <n v="1"/>
    <d v="2014-03-30T00:00:00"/>
    <n v="31"/>
    <n v="17"/>
    <n v="0"/>
    <n v="2"/>
    <n v="0"/>
    <n v="0"/>
    <n v="2"/>
    <n v="2"/>
    <n v="1"/>
    <n v="0"/>
    <n v="3"/>
    <n v="6"/>
    <x v="0"/>
    <x v="0"/>
    <x v="0"/>
    <x v="0"/>
    <x v="0"/>
    <n v="1"/>
    <n v="3"/>
    <n v="11"/>
    <x v="1"/>
  </r>
  <r>
    <n v="2375"/>
    <n v="1972"/>
    <x v="0"/>
    <s v="Together"/>
    <n v="30261"/>
    <n v="1"/>
    <n v="2"/>
    <d v="2012-09-25T00:00:00"/>
    <n v="75"/>
    <n v="8"/>
    <n v="0"/>
    <n v="5"/>
    <n v="0"/>
    <n v="3"/>
    <n v="6"/>
    <n v="1"/>
    <n v="0"/>
    <n v="0"/>
    <n v="3"/>
    <n v="8"/>
    <x v="0"/>
    <x v="0"/>
    <x v="0"/>
    <x v="0"/>
    <x v="0"/>
    <n v="0"/>
    <n v="3"/>
    <n v="11"/>
    <x v="1"/>
  </r>
  <r>
    <n v="9829"/>
    <n v="1978"/>
    <x v="0"/>
    <s v="Together"/>
    <n v="28587"/>
    <n v="1"/>
    <n v="0"/>
    <d v="2014-02-12T00:00:00"/>
    <n v="42"/>
    <n v="22"/>
    <n v="4"/>
    <n v="17"/>
    <n v="12"/>
    <n v="10"/>
    <n v="13"/>
    <n v="3"/>
    <n v="2"/>
    <n v="0"/>
    <n v="4"/>
    <n v="6"/>
    <x v="0"/>
    <x v="0"/>
    <x v="0"/>
    <x v="0"/>
    <x v="0"/>
    <n v="0"/>
    <n v="3"/>
    <n v="11"/>
    <x v="1"/>
  </r>
  <r>
    <n v="6214"/>
    <n v="1982"/>
    <x v="2"/>
    <s v="Married"/>
    <n v="43815"/>
    <n v="1"/>
    <n v="0"/>
    <d v="2013-04-05T00:00:00"/>
    <n v="53"/>
    <n v="14"/>
    <n v="10"/>
    <n v="29"/>
    <n v="4"/>
    <n v="7"/>
    <n v="15"/>
    <n v="1"/>
    <n v="2"/>
    <n v="0"/>
    <n v="3"/>
    <n v="6"/>
    <x v="0"/>
    <x v="0"/>
    <x v="0"/>
    <x v="0"/>
    <x v="0"/>
    <n v="0"/>
    <n v="3"/>
    <n v="11"/>
    <x v="1"/>
  </r>
  <r>
    <n v="4954"/>
    <n v="1956"/>
    <x v="0"/>
    <s v="Married"/>
    <n v="48195"/>
    <n v="1"/>
    <n v="1"/>
    <d v="2014-01-21T00:00:00"/>
    <n v="53"/>
    <n v="106"/>
    <n v="27"/>
    <n v="68"/>
    <n v="52"/>
    <n v="7"/>
    <n v="5"/>
    <n v="6"/>
    <n v="4"/>
    <n v="2"/>
    <n v="5"/>
    <n v="6"/>
    <x v="0"/>
    <x v="0"/>
    <x v="0"/>
    <x v="0"/>
    <x v="0"/>
    <n v="0"/>
    <n v="3"/>
    <n v="11"/>
    <x v="1"/>
  </r>
  <r>
    <n v="7861"/>
    <n v="1952"/>
    <x v="2"/>
    <s v="Married"/>
    <n v="77027"/>
    <n v="0"/>
    <n v="1"/>
    <d v="2014-02-05T00:00:00"/>
    <n v="23"/>
    <n v="820"/>
    <n v="57"/>
    <n v="242"/>
    <n v="45"/>
    <n v="0"/>
    <n v="11"/>
    <n v="2"/>
    <n v="8"/>
    <n v="3"/>
    <n v="6"/>
    <n v="4"/>
    <x v="0"/>
    <x v="0"/>
    <x v="0"/>
    <x v="0"/>
    <x v="0"/>
    <n v="0"/>
    <n v="3"/>
    <n v="11"/>
    <x v="1"/>
  </r>
  <r>
    <n v="4837"/>
    <n v="1965"/>
    <x v="1"/>
    <s v="Married"/>
    <n v="71322"/>
    <n v="0"/>
    <n v="1"/>
    <d v="2013-02-16T00:00:00"/>
    <n v="57"/>
    <n v="753"/>
    <n v="43"/>
    <n v="226"/>
    <n v="69"/>
    <n v="10"/>
    <n v="204"/>
    <n v="2"/>
    <n v="8"/>
    <n v="5"/>
    <n v="13"/>
    <n v="4"/>
    <x v="0"/>
    <x v="0"/>
    <x v="0"/>
    <x v="0"/>
    <x v="0"/>
    <n v="0"/>
    <n v="3"/>
    <n v="11"/>
    <x v="1"/>
  </r>
  <r>
    <n v="9423"/>
    <n v="1979"/>
    <x v="2"/>
    <s v="Married"/>
    <n v="32765"/>
    <n v="1"/>
    <n v="0"/>
    <d v="2014-02-23T00:00:00"/>
    <n v="49"/>
    <n v="13"/>
    <n v="3"/>
    <n v="17"/>
    <n v="7"/>
    <n v="3"/>
    <n v="3"/>
    <n v="2"/>
    <n v="2"/>
    <n v="0"/>
    <n v="4"/>
    <n v="5"/>
    <x v="0"/>
    <x v="0"/>
    <x v="0"/>
    <x v="0"/>
    <x v="0"/>
    <n v="0"/>
    <n v="3"/>
    <n v="11"/>
    <x v="1"/>
  </r>
  <r>
    <n v="4198"/>
    <n v="1965"/>
    <x v="0"/>
    <s v="Together"/>
    <n v="29672"/>
    <n v="1"/>
    <n v="1"/>
    <d v="2013-03-12T00:00:00"/>
    <n v="6"/>
    <n v="9"/>
    <n v="1"/>
    <n v="3"/>
    <n v="0"/>
    <n v="4"/>
    <n v="8"/>
    <n v="1"/>
    <n v="0"/>
    <n v="0"/>
    <n v="3"/>
    <n v="6"/>
    <x v="0"/>
    <x v="0"/>
    <x v="0"/>
    <x v="0"/>
    <x v="0"/>
    <n v="0"/>
    <n v="3"/>
    <n v="11"/>
    <x v="1"/>
  </r>
  <r>
    <n v="153"/>
    <n v="1953"/>
    <x v="0"/>
    <s v="Divorced"/>
    <n v="23272"/>
    <n v="0"/>
    <n v="0"/>
    <d v="2013-10-17T00:00:00"/>
    <n v="29"/>
    <n v="19"/>
    <n v="3"/>
    <n v="6"/>
    <n v="4"/>
    <n v="2"/>
    <n v="12"/>
    <n v="1"/>
    <n v="1"/>
    <n v="0"/>
    <n v="3"/>
    <n v="4"/>
    <x v="0"/>
    <x v="0"/>
    <x v="0"/>
    <x v="0"/>
    <x v="0"/>
    <n v="0"/>
    <n v="3"/>
    <n v="11"/>
    <x v="1"/>
  </r>
  <r>
    <n v="9323"/>
    <n v="1949"/>
    <x v="2"/>
    <s v="Together"/>
    <n v="49912"/>
    <n v="0"/>
    <n v="1"/>
    <d v="2012-09-07T00:00:00"/>
    <n v="5"/>
    <n v="520"/>
    <n v="8"/>
    <n v="223"/>
    <n v="32"/>
    <n v="49"/>
    <n v="42"/>
    <n v="4"/>
    <n v="10"/>
    <n v="5"/>
    <n v="7"/>
    <n v="8"/>
    <x v="1"/>
    <x v="0"/>
    <x v="0"/>
    <x v="0"/>
    <x v="0"/>
    <n v="0"/>
    <n v="3"/>
    <n v="11"/>
    <x v="0"/>
  </r>
  <r>
    <n v="10001"/>
    <n v="1985"/>
    <x v="4"/>
    <s v="Together"/>
    <n v="7500"/>
    <n v="1"/>
    <n v="0"/>
    <d v="2012-08-01T00:00:00"/>
    <n v="98"/>
    <n v="5"/>
    <n v="17"/>
    <n v="17"/>
    <n v="13"/>
    <n v="14"/>
    <n v="34"/>
    <n v="4"/>
    <n v="2"/>
    <n v="1"/>
    <n v="3"/>
    <n v="9"/>
    <x v="0"/>
    <x v="0"/>
    <x v="0"/>
    <x v="0"/>
    <x v="0"/>
    <n v="0"/>
    <n v="3"/>
    <n v="11"/>
    <x v="1"/>
  </r>
  <r>
    <n v="3945"/>
    <n v="1947"/>
    <x v="1"/>
    <s v="Widow"/>
    <n v="68117"/>
    <n v="0"/>
    <n v="1"/>
    <d v="2013-03-10T00:00:00"/>
    <n v="80"/>
    <n v="618"/>
    <n v="44"/>
    <n v="215"/>
    <n v="0"/>
    <n v="17"/>
    <n v="36"/>
    <n v="2"/>
    <n v="11"/>
    <n v="8"/>
    <n v="4"/>
    <n v="6"/>
    <x v="1"/>
    <x v="0"/>
    <x v="0"/>
    <x v="0"/>
    <x v="0"/>
    <n v="0"/>
    <n v="3"/>
    <n v="11"/>
    <x v="0"/>
  </r>
  <r>
    <n v="3799"/>
    <n v="1955"/>
    <x v="0"/>
    <s v="Married"/>
    <n v="67225"/>
    <n v="0"/>
    <n v="1"/>
    <d v="2013-11-26T00:00:00"/>
    <n v="4"/>
    <n v="315"/>
    <n v="35"/>
    <n v="322"/>
    <n v="46"/>
    <n v="7"/>
    <n v="143"/>
    <n v="3"/>
    <n v="7"/>
    <n v="2"/>
    <n v="11"/>
    <n v="5"/>
    <x v="0"/>
    <x v="0"/>
    <x v="0"/>
    <x v="0"/>
    <x v="0"/>
    <n v="0"/>
    <n v="3"/>
    <n v="11"/>
    <x v="1"/>
  </r>
  <r>
    <n v="8625"/>
    <n v="1976"/>
    <x v="0"/>
    <s v="Married"/>
    <n v="17649"/>
    <n v="1"/>
    <n v="0"/>
    <d v="2013-11-12T00:00:00"/>
    <n v="70"/>
    <n v="15"/>
    <n v="1"/>
    <n v="23"/>
    <n v="0"/>
    <n v="5"/>
    <n v="1"/>
    <n v="3"/>
    <n v="3"/>
    <n v="0"/>
    <n v="3"/>
    <n v="8"/>
    <x v="0"/>
    <x v="0"/>
    <x v="0"/>
    <x v="0"/>
    <x v="0"/>
    <n v="0"/>
    <n v="3"/>
    <n v="11"/>
    <x v="1"/>
  </r>
  <r>
    <n v="3491"/>
    <n v="1975"/>
    <x v="0"/>
    <s v="Together"/>
    <n v="55914"/>
    <n v="0"/>
    <n v="1"/>
    <d v="2013-04-29T00:00:00"/>
    <n v="32"/>
    <n v="384"/>
    <n v="60"/>
    <n v="364"/>
    <n v="119"/>
    <n v="101"/>
    <n v="232"/>
    <n v="4"/>
    <n v="11"/>
    <n v="6"/>
    <n v="8"/>
    <n v="7"/>
    <x v="0"/>
    <x v="0"/>
    <x v="0"/>
    <x v="0"/>
    <x v="0"/>
    <n v="0"/>
    <n v="3"/>
    <n v="11"/>
    <x v="1"/>
  </r>
  <r>
    <n v="983"/>
    <n v="1984"/>
    <x v="0"/>
    <s v="Married"/>
    <n v="40059"/>
    <n v="1"/>
    <n v="0"/>
    <d v="2013-09-28T00:00:00"/>
    <n v="82"/>
    <n v="110"/>
    <n v="29"/>
    <n v="92"/>
    <n v="28"/>
    <n v="10"/>
    <n v="145"/>
    <n v="1"/>
    <n v="6"/>
    <n v="2"/>
    <n v="3"/>
    <n v="8"/>
    <x v="1"/>
    <x v="0"/>
    <x v="0"/>
    <x v="0"/>
    <x v="0"/>
    <n v="0"/>
    <n v="3"/>
    <n v="11"/>
    <x v="1"/>
  </r>
  <r>
    <n v="9119"/>
    <n v="1950"/>
    <x v="0"/>
    <s v="Together"/>
    <n v="60905"/>
    <n v="0"/>
    <n v="1"/>
    <d v="2013-12-05T00:00:00"/>
    <n v="27"/>
    <n v="208"/>
    <n v="17"/>
    <n v="76"/>
    <n v="36"/>
    <n v="17"/>
    <n v="38"/>
    <n v="2"/>
    <n v="3"/>
    <n v="3"/>
    <n v="7"/>
    <n v="2"/>
    <x v="0"/>
    <x v="0"/>
    <x v="0"/>
    <x v="0"/>
    <x v="0"/>
    <n v="0"/>
    <n v="3"/>
    <n v="11"/>
    <x v="1"/>
  </r>
  <r>
    <n v="4786"/>
    <n v="1977"/>
    <x v="0"/>
    <s v="Married"/>
    <n v="75330"/>
    <n v="1"/>
    <n v="1"/>
    <d v="2012-10-04T00:00:00"/>
    <n v="94"/>
    <n v="555"/>
    <n v="82"/>
    <n v="257"/>
    <n v="93"/>
    <n v="61"/>
    <n v="61"/>
    <n v="4"/>
    <n v="10"/>
    <n v="3"/>
    <n v="12"/>
    <n v="6"/>
    <x v="0"/>
    <x v="0"/>
    <x v="0"/>
    <x v="0"/>
    <x v="0"/>
    <n v="0"/>
    <n v="3"/>
    <n v="11"/>
    <x v="1"/>
  </r>
  <r>
    <n v="5872"/>
    <n v="1951"/>
    <x v="0"/>
    <s v="Single"/>
    <n v="60689"/>
    <n v="0"/>
    <n v="1"/>
    <d v="2013-06-01T00:00:00"/>
    <n v="23"/>
    <n v="240"/>
    <n v="90"/>
    <n v="216"/>
    <n v="63"/>
    <n v="6"/>
    <n v="24"/>
    <n v="4"/>
    <n v="4"/>
    <n v="4"/>
    <n v="10"/>
    <n v="3"/>
    <x v="0"/>
    <x v="0"/>
    <x v="0"/>
    <x v="0"/>
    <x v="0"/>
    <n v="0"/>
    <n v="3"/>
    <n v="11"/>
    <x v="1"/>
  </r>
  <r>
    <n v="6568"/>
    <n v="1984"/>
    <x v="0"/>
    <s v="Married"/>
    <n v="38680"/>
    <n v="1"/>
    <n v="0"/>
    <d v="2013-03-28T00:00:00"/>
    <n v="97"/>
    <n v="11"/>
    <n v="0"/>
    <n v="36"/>
    <n v="15"/>
    <n v="5"/>
    <n v="12"/>
    <n v="1"/>
    <n v="2"/>
    <n v="0"/>
    <n v="3"/>
    <n v="7"/>
    <x v="0"/>
    <x v="0"/>
    <x v="0"/>
    <x v="0"/>
    <x v="0"/>
    <n v="0"/>
    <n v="3"/>
    <n v="11"/>
    <x v="1"/>
  </r>
  <r>
    <n v="5628"/>
    <n v="1982"/>
    <x v="0"/>
    <s v="Together"/>
    <n v="61416"/>
    <n v="0"/>
    <n v="0"/>
    <d v="2013-02-08T00:00:00"/>
    <n v="25"/>
    <n v="848"/>
    <n v="154"/>
    <n v="323"/>
    <n v="201"/>
    <n v="61"/>
    <n v="78"/>
    <n v="1"/>
    <n v="10"/>
    <n v="3"/>
    <n v="10"/>
    <n v="6"/>
    <x v="1"/>
    <x v="0"/>
    <x v="0"/>
    <x v="0"/>
    <x v="0"/>
    <n v="0"/>
    <n v="3"/>
    <n v="11"/>
    <x v="1"/>
  </r>
  <r>
    <n v="5631"/>
    <n v="1991"/>
    <x v="0"/>
    <s v="Single"/>
    <n v="49767"/>
    <n v="0"/>
    <n v="0"/>
    <d v="2013-05-02T00:00:00"/>
    <n v="92"/>
    <n v="202"/>
    <n v="47"/>
    <n v="197"/>
    <n v="55"/>
    <n v="42"/>
    <n v="149"/>
    <n v="1"/>
    <n v="5"/>
    <n v="4"/>
    <n v="8"/>
    <n v="4"/>
    <x v="0"/>
    <x v="0"/>
    <x v="0"/>
    <x v="0"/>
    <x v="0"/>
    <n v="0"/>
    <n v="3"/>
    <n v="11"/>
    <x v="1"/>
  </r>
  <r>
    <n v="4974"/>
    <n v="1970"/>
    <x v="0"/>
    <s v="Single"/>
    <n v="83273"/>
    <n v="1"/>
    <n v="2"/>
    <d v="2012-09-25T00:00:00"/>
    <n v="98"/>
    <n v="433"/>
    <n v="89"/>
    <n v="650"/>
    <n v="16"/>
    <n v="102"/>
    <n v="102"/>
    <n v="10"/>
    <n v="4"/>
    <n v="6"/>
    <n v="9"/>
    <n v="7"/>
    <x v="0"/>
    <x v="0"/>
    <x v="0"/>
    <x v="0"/>
    <x v="0"/>
    <n v="0"/>
    <n v="3"/>
    <n v="11"/>
    <x v="1"/>
  </r>
  <r>
    <n v="8416"/>
    <n v="1981"/>
    <x v="0"/>
    <s v="Married"/>
    <n v="29009"/>
    <n v="1"/>
    <n v="0"/>
    <d v="2013-11-29T00:00:00"/>
    <n v="19"/>
    <n v="6"/>
    <n v="6"/>
    <n v="15"/>
    <n v="10"/>
    <n v="5"/>
    <n v="2"/>
    <n v="2"/>
    <n v="2"/>
    <n v="0"/>
    <n v="3"/>
    <n v="6"/>
    <x v="0"/>
    <x v="0"/>
    <x v="0"/>
    <x v="0"/>
    <x v="0"/>
    <n v="0"/>
    <n v="3"/>
    <n v="11"/>
    <x v="1"/>
  </r>
  <r>
    <n v="5454"/>
    <n v="1979"/>
    <x v="2"/>
    <s v="Married"/>
    <n v="45057"/>
    <n v="1"/>
    <n v="0"/>
    <d v="2013-12-01T00:00:00"/>
    <n v="80"/>
    <n v="37"/>
    <n v="0"/>
    <n v="7"/>
    <n v="3"/>
    <n v="0"/>
    <n v="3"/>
    <n v="1"/>
    <n v="2"/>
    <n v="0"/>
    <n v="3"/>
    <n v="5"/>
    <x v="0"/>
    <x v="0"/>
    <x v="0"/>
    <x v="0"/>
    <x v="0"/>
    <n v="0"/>
    <n v="3"/>
    <n v="11"/>
    <x v="1"/>
  </r>
  <r>
    <n v="4095"/>
    <n v="1971"/>
    <x v="0"/>
    <s v="Married"/>
    <n v="37150"/>
    <n v="1"/>
    <n v="0"/>
    <d v="2012-09-11T00:00:00"/>
    <n v="80"/>
    <n v="167"/>
    <n v="37"/>
    <n v="64"/>
    <n v="49"/>
    <n v="34"/>
    <n v="116"/>
    <n v="8"/>
    <n v="4"/>
    <n v="3"/>
    <n v="6"/>
    <n v="7"/>
    <x v="0"/>
    <x v="0"/>
    <x v="0"/>
    <x v="0"/>
    <x v="0"/>
    <n v="0"/>
    <n v="3"/>
    <n v="11"/>
    <x v="1"/>
  </r>
  <r>
    <n v="5474"/>
    <n v="1970"/>
    <x v="0"/>
    <s v="Single"/>
    <n v="43020"/>
    <n v="1"/>
    <n v="0"/>
    <d v="2013-11-30T00:00:00"/>
    <n v="79"/>
    <n v="45"/>
    <n v="7"/>
    <n v="99"/>
    <n v="4"/>
    <n v="25"/>
    <n v="43"/>
    <n v="3"/>
    <n v="4"/>
    <n v="1"/>
    <n v="4"/>
    <n v="6"/>
    <x v="0"/>
    <x v="0"/>
    <x v="0"/>
    <x v="0"/>
    <x v="0"/>
    <n v="0"/>
    <n v="3"/>
    <n v="11"/>
    <x v="1"/>
  </r>
  <r>
    <n v="4268"/>
    <n v="1959"/>
    <x v="0"/>
    <s v="Married"/>
    <n v="53154"/>
    <n v="0"/>
    <n v="1"/>
    <d v="2014-06-09T00:00:00"/>
    <n v="50"/>
    <n v="129"/>
    <n v="0"/>
    <n v="21"/>
    <n v="0"/>
    <n v="1"/>
    <n v="7"/>
    <n v="1"/>
    <n v="3"/>
    <n v="1"/>
    <n v="4"/>
    <n v="4"/>
    <x v="0"/>
    <x v="0"/>
    <x v="0"/>
    <x v="0"/>
    <x v="0"/>
    <n v="0"/>
    <n v="3"/>
    <n v="11"/>
    <x v="1"/>
  </r>
  <r>
    <n v="10701"/>
    <n v="1973"/>
    <x v="0"/>
    <s v="Married"/>
    <n v="65308"/>
    <n v="0"/>
    <n v="0"/>
    <d v="2013-09-11T00:00:00"/>
    <n v="60"/>
    <n v="713"/>
    <n v="0"/>
    <n v="264"/>
    <n v="120"/>
    <n v="80"/>
    <n v="34"/>
    <n v="1"/>
    <n v="7"/>
    <n v="8"/>
    <n v="12"/>
    <n v="4"/>
    <x v="0"/>
    <x v="0"/>
    <x v="1"/>
    <x v="1"/>
    <x v="0"/>
    <n v="0"/>
    <n v="3"/>
    <n v="11"/>
    <x v="1"/>
  </r>
  <r>
    <n v="3507"/>
    <n v="1970"/>
    <x v="0"/>
    <s v="Single"/>
    <n v="76467"/>
    <n v="1"/>
    <n v="0"/>
    <d v="2012-08-17T00:00:00"/>
    <n v="44"/>
    <n v="676"/>
    <n v="161"/>
    <n v="426"/>
    <n v="210"/>
    <n v="44"/>
    <n v="58"/>
    <n v="2"/>
    <n v="2"/>
    <n v="5"/>
    <n v="5"/>
    <n v="6"/>
    <x v="0"/>
    <x v="0"/>
    <x v="0"/>
    <x v="0"/>
    <x v="0"/>
    <n v="0"/>
    <n v="3"/>
    <n v="11"/>
    <x v="0"/>
  </r>
  <r>
    <n v="2079"/>
    <n v="1947"/>
    <x v="4"/>
    <s v="Married"/>
    <n v="81044"/>
    <n v="0"/>
    <n v="0"/>
    <d v="2013-12-27T00:00:00"/>
    <n v="0"/>
    <n v="450"/>
    <n v="26"/>
    <n v="535"/>
    <n v="73"/>
    <n v="98"/>
    <n v="26"/>
    <n v="1"/>
    <n v="5"/>
    <n v="6"/>
    <n v="10"/>
    <n v="1"/>
    <x v="0"/>
    <x v="0"/>
    <x v="0"/>
    <x v="0"/>
    <x v="0"/>
    <n v="0"/>
    <n v="3"/>
    <n v="11"/>
    <x v="1"/>
  </r>
  <r>
    <n v="626"/>
    <n v="1951"/>
    <x v="0"/>
    <s v="Married"/>
    <n v="32871"/>
    <n v="1"/>
    <n v="1"/>
    <d v="2013-03-09T00:00:00"/>
    <n v="28"/>
    <n v="22"/>
    <n v="2"/>
    <n v="12"/>
    <n v="0"/>
    <n v="2"/>
    <n v="5"/>
    <n v="1"/>
    <n v="1"/>
    <n v="0"/>
    <n v="3"/>
    <n v="4"/>
    <x v="0"/>
    <x v="0"/>
    <x v="0"/>
    <x v="0"/>
    <x v="0"/>
    <n v="0"/>
    <n v="3"/>
    <n v="11"/>
    <x v="1"/>
  </r>
  <r>
    <n v="4426"/>
    <n v="1975"/>
    <x v="0"/>
    <s v="Single"/>
    <n v="55801"/>
    <n v="1"/>
    <n v="1"/>
    <d v="2013-09-22T00:00:00"/>
    <n v="35"/>
    <n v="367"/>
    <n v="4"/>
    <n v="51"/>
    <n v="6"/>
    <n v="4"/>
    <n v="95"/>
    <n v="6"/>
    <n v="7"/>
    <n v="2"/>
    <n v="6"/>
    <n v="7"/>
    <x v="0"/>
    <x v="0"/>
    <x v="0"/>
    <x v="1"/>
    <x v="0"/>
    <n v="0"/>
    <n v="3"/>
    <n v="11"/>
    <x v="1"/>
  </r>
  <r>
    <n v="2591"/>
    <n v="1959"/>
    <x v="0"/>
    <s v="Widow"/>
    <n v="76320"/>
    <n v="0"/>
    <n v="1"/>
    <d v="2014-06-22T00:00:00"/>
    <n v="49"/>
    <n v="526"/>
    <n v="35"/>
    <n v="214"/>
    <n v="69"/>
    <n v="53"/>
    <n v="35"/>
    <n v="2"/>
    <n v="6"/>
    <n v="3"/>
    <n v="4"/>
    <n v="2"/>
    <x v="0"/>
    <x v="0"/>
    <x v="0"/>
    <x v="0"/>
    <x v="0"/>
    <n v="0"/>
    <n v="3"/>
    <n v="11"/>
    <x v="1"/>
  </r>
  <r>
    <n v="10509"/>
    <n v="1955"/>
    <x v="2"/>
    <s v="Single"/>
    <n v="36927"/>
    <n v="1"/>
    <n v="1"/>
    <d v="2014-06-02T00:00:00"/>
    <n v="46"/>
    <n v="51"/>
    <n v="0"/>
    <n v="16"/>
    <n v="0"/>
    <n v="0"/>
    <n v="4"/>
    <n v="2"/>
    <n v="3"/>
    <n v="0"/>
    <n v="3"/>
    <n v="8"/>
    <x v="0"/>
    <x v="0"/>
    <x v="0"/>
    <x v="0"/>
    <x v="0"/>
    <n v="0"/>
    <n v="3"/>
    <n v="11"/>
    <x v="1"/>
  </r>
  <r>
    <n v="6382"/>
    <n v="1953"/>
    <x v="0"/>
    <s v="Together"/>
    <n v="48794"/>
    <n v="1"/>
    <n v="1"/>
    <d v="2014-06-26T00:00:00"/>
    <n v="97"/>
    <n v="25"/>
    <n v="0"/>
    <n v="11"/>
    <n v="3"/>
    <n v="0"/>
    <n v="15"/>
    <n v="1"/>
    <n v="1"/>
    <n v="0"/>
    <n v="3"/>
    <n v="4"/>
    <x v="0"/>
    <x v="0"/>
    <x v="0"/>
    <x v="0"/>
    <x v="0"/>
    <n v="0"/>
    <n v="3"/>
    <n v="11"/>
    <x v="1"/>
  </r>
  <r>
    <n v="6673"/>
    <n v="1965"/>
    <x v="0"/>
    <s v="Single"/>
    <n v="23478"/>
    <n v="0"/>
    <n v="0"/>
    <d v="2013-03-19T00:00:00"/>
    <n v="51"/>
    <n v="28"/>
    <n v="6"/>
    <n v="27"/>
    <n v="12"/>
    <n v="17"/>
    <n v="39"/>
    <n v="1"/>
    <n v="3"/>
    <n v="0"/>
    <n v="3"/>
    <n v="8"/>
    <x v="0"/>
    <x v="0"/>
    <x v="0"/>
    <x v="0"/>
    <x v="0"/>
    <n v="0"/>
    <n v="3"/>
    <n v="11"/>
    <x v="1"/>
  </r>
  <r>
    <n v="7441"/>
    <n v="1973"/>
    <x v="0"/>
    <s v="Divorced"/>
    <n v="71128"/>
    <n v="1"/>
    <n v="0"/>
    <d v="2012-10-06T00:00:00"/>
    <n v="80"/>
    <n v="958"/>
    <n v="159"/>
    <n v="447"/>
    <n v="20"/>
    <n v="0"/>
    <n v="31"/>
    <n v="3"/>
    <n v="2"/>
    <n v="10"/>
    <n v="12"/>
    <n v="7"/>
    <x v="0"/>
    <x v="0"/>
    <x v="0"/>
    <x v="0"/>
    <x v="0"/>
    <n v="0"/>
    <n v="3"/>
    <n v="11"/>
    <x v="1"/>
  </r>
  <r>
    <n v="1071"/>
    <n v="1976"/>
    <x v="1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x v="0"/>
    <x v="0"/>
    <x v="0"/>
    <x v="0"/>
    <x v="0"/>
    <n v="0"/>
    <n v="3"/>
    <n v="11"/>
    <x v="1"/>
  </r>
  <r>
    <n v="10061"/>
    <n v="1950"/>
    <x v="0"/>
    <s v="Married"/>
    <n v="59462"/>
    <n v="0"/>
    <n v="1"/>
    <d v="2013-01-05T00:00:00"/>
    <n v="29"/>
    <n v="724"/>
    <n v="17"/>
    <n v="143"/>
    <n v="0"/>
    <n v="8"/>
    <n v="196"/>
    <n v="2"/>
    <n v="9"/>
    <n v="2"/>
    <n v="12"/>
    <n v="7"/>
    <x v="0"/>
    <x v="0"/>
    <x v="0"/>
    <x v="0"/>
    <x v="0"/>
    <n v="0"/>
    <n v="3"/>
    <n v="11"/>
    <x v="1"/>
  </r>
  <r>
    <n v="7187"/>
    <n v="1969"/>
    <x v="2"/>
    <s v="Together"/>
    <n v="51381.5"/>
    <n v="1"/>
    <n v="1"/>
    <d v="2013-05-18T00:00:00"/>
    <n v="52"/>
    <n v="375"/>
    <n v="42"/>
    <n v="48"/>
    <n v="94"/>
    <n v="66"/>
    <n v="96"/>
    <n v="7"/>
    <n v="4"/>
    <n v="10"/>
    <n v="4"/>
    <n v="3"/>
    <x v="0"/>
    <x v="0"/>
    <x v="0"/>
    <x v="0"/>
    <x v="0"/>
    <n v="0"/>
    <n v="3"/>
    <n v="11"/>
    <x v="1"/>
  </r>
  <r>
    <n v="8775"/>
    <n v="1969"/>
    <x v="0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x v="0"/>
    <x v="0"/>
    <x v="0"/>
    <x v="0"/>
    <x v="0"/>
    <n v="0"/>
    <n v="3"/>
    <n v="11"/>
    <x v="1"/>
  </r>
  <r>
    <n v="1612"/>
    <n v="1981"/>
    <x v="1"/>
    <s v="Single"/>
    <n v="51381.5"/>
    <n v="1"/>
    <n v="0"/>
    <d v="2013-05-31T00:00:00"/>
    <n v="82"/>
    <n v="23"/>
    <n v="0"/>
    <n v="15"/>
    <n v="0"/>
    <n v="2"/>
    <n v="7"/>
    <n v="2"/>
    <n v="3"/>
    <n v="0"/>
    <n v="3"/>
    <n v="6"/>
    <x v="0"/>
    <x v="0"/>
    <x v="0"/>
    <x v="0"/>
    <x v="0"/>
    <n v="0"/>
    <n v="3"/>
    <n v="11"/>
    <x v="1"/>
  </r>
  <r>
    <n v="2345"/>
    <n v="1982"/>
    <x v="1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x v="0"/>
    <x v="0"/>
    <x v="0"/>
    <x v="0"/>
    <x v="0"/>
    <n v="0"/>
    <n v="3"/>
    <n v="11"/>
    <x v="1"/>
  </r>
  <r>
    <n v="322"/>
    <n v="1978"/>
    <x v="0"/>
    <s v="Together"/>
    <n v="42554"/>
    <n v="1"/>
    <n v="1"/>
    <d v="2013-01-12T00:00:00"/>
    <n v="93"/>
    <n v="29"/>
    <n v="1"/>
    <n v="11"/>
    <n v="0"/>
    <n v="0"/>
    <n v="0"/>
    <n v="2"/>
    <n v="2"/>
    <n v="0"/>
    <n v="3"/>
    <n v="4"/>
    <x v="0"/>
    <x v="0"/>
    <x v="0"/>
    <x v="0"/>
    <x v="0"/>
    <n v="0"/>
    <n v="3"/>
    <n v="11"/>
    <x v="1"/>
  </r>
  <r>
    <n v="10897"/>
    <n v="1974"/>
    <x v="0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x v="0"/>
    <x v="0"/>
    <x v="0"/>
    <x v="0"/>
    <x v="0"/>
    <n v="0"/>
    <n v="3"/>
    <n v="11"/>
    <x v="1"/>
  </r>
  <r>
    <n v="123"/>
    <n v="1951"/>
    <x v="0"/>
    <s v="Widow"/>
    <n v="67046"/>
    <n v="0"/>
    <n v="1"/>
    <d v="2013-01-06T00:00:00"/>
    <n v="92"/>
    <n v="544"/>
    <n v="35"/>
    <n v="133"/>
    <n v="23"/>
    <n v="151"/>
    <n v="107"/>
    <n v="2"/>
    <n v="4"/>
    <n v="5"/>
    <n v="4"/>
    <n v="2"/>
    <x v="0"/>
    <x v="0"/>
    <x v="0"/>
    <x v="0"/>
    <x v="0"/>
    <n v="0"/>
    <n v="3"/>
    <n v="11"/>
    <x v="1"/>
  </r>
  <r>
    <n v="6103"/>
    <n v="1948"/>
    <x v="0"/>
    <s v="Married"/>
    <n v="42192"/>
    <n v="0"/>
    <n v="0"/>
    <d v="2013-09-06T00:00:00"/>
    <n v="40"/>
    <n v="40"/>
    <n v="15"/>
    <n v="15"/>
    <n v="17"/>
    <n v="6"/>
    <n v="7"/>
    <n v="1"/>
    <n v="2"/>
    <n v="1"/>
    <n v="3"/>
    <n v="4"/>
    <x v="0"/>
    <x v="0"/>
    <x v="0"/>
    <x v="0"/>
    <x v="0"/>
    <n v="0"/>
    <n v="3"/>
    <n v="11"/>
    <x v="1"/>
  </r>
  <r>
    <n v="7899"/>
    <n v="1952"/>
    <x v="1"/>
    <s v="Married"/>
    <n v="77610"/>
    <n v="0"/>
    <n v="1"/>
    <d v="2012-10-29T00:00:00"/>
    <n v="70"/>
    <n v="1245"/>
    <n v="33"/>
    <n v="332"/>
    <n v="21"/>
    <n v="33"/>
    <n v="16"/>
    <n v="2"/>
    <n v="4"/>
    <n v="7"/>
    <n v="4"/>
    <n v="7"/>
    <x v="0"/>
    <x v="0"/>
    <x v="0"/>
    <x v="0"/>
    <x v="0"/>
    <n v="0"/>
    <n v="3"/>
    <n v="11"/>
    <x v="1"/>
  </r>
  <r>
    <n v="10500"/>
    <n v="1984"/>
    <x v="0"/>
    <s v="Married"/>
    <n v="31761"/>
    <n v="1"/>
    <n v="0"/>
    <d v="2014-04-05T00:00:00"/>
    <n v="96"/>
    <n v="19"/>
    <n v="1"/>
    <n v="20"/>
    <n v="16"/>
    <n v="14"/>
    <n v="28"/>
    <n v="2"/>
    <n v="3"/>
    <n v="0"/>
    <n v="4"/>
    <n v="5"/>
    <x v="0"/>
    <x v="0"/>
    <x v="0"/>
    <x v="0"/>
    <x v="0"/>
    <n v="0"/>
    <n v="3"/>
    <n v="11"/>
    <x v="1"/>
  </r>
  <r>
    <n v="1655"/>
    <n v="1979"/>
    <x v="0"/>
    <s v="Together"/>
    <n v="34350"/>
    <n v="1"/>
    <n v="0"/>
    <d v="2013-10-19T00:00:00"/>
    <n v="81"/>
    <n v="16"/>
    <n v="3"/>
    <n v="15"/>
    <n v="2"/>
    <n v="1"/>
    <n v="11"/>
    <n v="1"/>
    <n v="1"/>
    <n v="0"/>
    <n v="3"/>
    <n v="7"/>
    <x v="0"/>
    <x v="0"/>
    <x v="0"/>
    <x v="0"/>
    <x v="0"/>
    <n v="0"/>
    <n v="3"/>
    <n v="11"/>
    <x v="1"/>
  </r>
  <r>
    <n v="2406"/>
    <n v="1949"/>
    <x v="0"/>
    <s v="Together"/>
    <n v="54591"/>
    <n v="0"/>
    <n v="1"/>
    <d v="2013-08-05T00:00:00"/>
    <n v="63"/>
    <n v="376"/>
    <n v="4"/>
    <n v="94"/>
    <n v="12"/>
    <n v="9"/>
    <n v="24"/>
    <n v="3"/>
    <n v="6"/>
    <n v="2"/>
    <n v="8"/>
    <n v="5"/>
    <x v="0"/>
    <x v="0"/>
    <x v="0"/>
    <x v="0"/>
    <x v="0"/>
    <n v="0"/>
    <n v="3"/>
    <n v="11"/>
    <x v="1"/>
  </r>
  <r>
    <n v="2712"/>
    <n v="1956"/>
    <x v="0"/>
    <s v="Married"/>
    <n v="71866"/>
    <n v="0"/>
    <n v="1"/>
    <d v="2013-12-25T00:00:00"/>
    <n v="85"/>
    <n v="184"/>
    <n v="178"/>
    <n v="178"/>
    <n v="103"/>
    <n v="39"/>
    <n v="33"/>
    <n v="1"/>
    <n v="6"/>
    <n v="3"/>
    <n v="10"/>
    <n v="3"/>
    <x v="0"/>
    <x v="0"/>
    <x v="0"/>
    <x v="0"/>
    <x v="0"/>
    <n v="0"/>
    <n v="3"/>
    <n v="11"/>
    <x v="1"/>
  </r>
  <r>
    <n v="5517"/>
    <n v="1969"/>
    <x v="0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x v="0"/>
    <x v="0"/>
    <x v="0"/>
    <x v="0"/>
    <x v="0"/>
    <n v="0"/>
    <n v="3"/>
    <n v="11"/>
    <x v="1"/>
  </r>
  <r>
    <n v="10643"/>
    <n v="1987"/>
    <x v="1"/>
    <s v="Single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x v="0"/>
    <x v="0"/>
    <x v="0"/>
    <x v="0"/>
    <x v="0"/>
    <n v="0"/>
    <n v="3"/>
    <n v="11"/>
    <x v="0"/>
  </r>
  <r>
    <n v="2254"/>
    <n v="1983"/>
    <x v="0"/>
    <s v="Married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x v="0"/>
    <x v="0"/>
    <x v="0"/>
    <x v="0"/>
    <x v="0"/>
    <n v="0"/>
    <n v="3"/>
    <n v="11"/>
    <x v="1"/>
  </r>
  <r>
    <n v="10281"/>
    <n v="1970"/>
    <x v="0"/>
    <s v="Divorced"/>
    <n v="64713"/>
    <n v="1"/>
    <n v="0"/>
    <d v="2014-02-07T00:00:00"/>
    <n v="11"/>
    <n v="180"/>
    <n v="60"/>
    <n v="241"/>
    <n v="13"/>
    <n v="54"/>
    <n v="54"/>
    <n v="2"/>
    <n v="5"/>
    <n v="5"/>
    <n v="7"/>
    <n v="4"/>
    <x v="0"/>
    <x v="0"/>
    <x v="0"/>
    <x v="0"/>
    <x v="0"/>
    <n v="0"/>
    <n v="3"/>
    <n v="11"/>
    <x v="0"/>
  </r>
  <r>
    <n v="6958"/>
    <n v="1977"/>
    <x v="2"/>
    <s v="Married"/>
    <n v="27889"/>
    <n v="1"/>
    <n v="0"/>
    <d v="2013-07-05T00:00:00"/>
    <n v="42"/>
    <n v="14"/>
    <n v="0"/>
    <n v="4"/>
    <n v="0"/>
    <n v="0"/>
    <n v="8"/>
    <n v="1"/>
    <n v="1"/>
    <n v="1"/>
    <n v="2"/>
    <n v="6"/>
    <x v="0"/>
    <x v="0"/>
    <x v="0"/>
    <x v="0"/>
    <x v="0"/>
    <n v="0"/>
    <n v="3"/>
    <n v="11"/>
    <x v="1"/>
  </r>
  <r>
    <n v="954"/>
    <n v="1960"/>
    <x v="3"/>
    <s v="Widow"/>
    <n v="22123"/>
    <n v="0"/>
    <n v="0"/>
    <d v="2014-03-27T00:00:00"/>
    <n v="77"/>
    <n v="3"/>
    <n v="3"/>
    <n v="24"/>
    <n v="34"/>
    <n v="7"/>
    <n v="31"/>
    <n v="1"/>
    <n v="2"/>
    <n v="1"/>
    <n v="3"/>
    <n v="5"/>
    <x v="0"/>
    <x v="0"/>
    <x v="0"/>
    <x v="0"/>
    <x v="0"/>
    <n v="0"/>
    <n v="3"/>
    <n v="11"/>
    <x v="1"/>
  </r>
  <r>
    <n v="5079"/>
    <n v="1971"/>
    <x v="0"/>
    <s v="Married"/>
    <n v="51381.5"/>
    <n v="1"/>
    <n v="1"/>
    <d v="2013-03-03T00:00:00"/>
    <n v="82"/>
    <n v="71"/>
    <n v="1"/>
    <n v="16"/>
    <n v="0"/>
    <n v="0"/>
    <n v="9"/>
    <n v="4"/>
    <n v="2"/>
    <n v="1"/>
    <n v="3"/>
    <n v="8"/>
    <x v="0"/>
    <x v="0"/>
    <x v="0"/>
    <x v="0"/>
    <x v="0"/>
    <n v="0"/>
    <n v="3"/>
    <n v="11"/>
    <x v="1"/>
  </r>
  <r>
    <n v="10339"/>
    <n v="1954"/>
    <x v="2"/>
    <s v="Together"/>
    <n v="51381.5"/>
    <n v="0"/>
    <n v="1"/>
    <d v="2013-06-23T00:00:00"/>
    <n v="83"/>
    <n v="161"/>
    <n v="0"/>
    <n v="22"/>
    <n v="0"/>
    <n v="0"/>
    <n v="24"/>
    <n v="2"/>
    <n v="4"/>
    <n v="1"/>
    <n v="4"/>
    <n v="6"/>
    <x v="0"/>
    <x v="0"/>
    <x v="0"/>
    <x v="0"/>
    <x v="0"/>
    <n v="0"/>
    <n v="3"/>
    <n v="11"/>
    <x v="1"/>
  </r>
  <r>
    <n v="4643"/>
    <n v="1973"/>
    <x v="0"/>
    <s v="Married"/>
    <n v="27803"/>
    <n v="1"/>
    <n v="0"/>
    <d v="2012-08-26T00:00:00"/>
    <n v="40"/>
    <n v="8"/>
    <n v="26"/>
    <n v="46"/>
    <n v="38"/>
    <n v="9"/>
    <n v="49"/>
    <n v="2"/>
    <n v="3"/>
    <n v="0"/>
    <n v="4"/>
    <n v="8"/>
    <x v="0"/>
    <x v="0"/>
    <x v="0"/>
    <x v="0"/>
    <x v="0"/>
    <n v="0"/>
    <n v="3"/>
    <n v="11"/>
    <x v="1"/>
  </r>
  <r>
    <n v="3117"/>
    <n v="1955"/>
    <x v="0"/>
    <s v="Single"/>
    <n v="51381.5"/>
    <n v="0"/>
    <n v="1"/>
    <d v="2013-10-18T00:00:00"/>
    <n v="95"/>
    <n v="264"/>
    <n v="0"/>
    <n v="21"/>
    <n v="12"/>
    <n v="6"/>
    <n v="147"/>
    <n v="3"/>
    <n v="6"/>
    <n v="1"/>
    <n v="5"/>
    <n v="7"/>
    <x v="0"/>
    <x v="0"/>
    <x v="0"/>
    <x v="0"/>
    <x v="0"/>
    <n v="0"/>
    <n v="3"/>
    <n v="11"/>
    <x v="1"/>
  </r>
  <r>
    <n v="6497"/>
    <n v="1960"/>
    <x v="0"/>
    <s v="Married"/>
    <n v="51651"/>
    <n v="0"/>
    <n v="1"/>
    <d v="2012-11-07T00:00:00"/>
    <n v="32"/>
    <n v="293"/>
    <n v="6"/>
    <n v="23"/>
    <n v="13"/>
    <n v="6"/>
    <n v="92"/>
    <n v="4"/>
    <n v="6"/>
    <n v="2"/>
    <n v="5"/>
    <n v="8"/>
    <x v="0"/>
    <x v="0"/>
    <x v="0"/>
    <x v="0"/>
    <x v="0"/>
    <n v="0"/>
    <n v="3"/>
    <n v="11"/>
    <x v="1"/>
  </r>
  <r>
    <n v="5396"/>
    <n v="1988"/>
    <x v="0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x v="0"/>
    <x v="0"/>
    <x v="0"/>
    <x v="0"/>
    <x v="0"/>
    <n v="0"/>
    <n v="3"/>
    <n v="11"/>
    <x v="1"/>
  </r>
  <r>
    <n v="5250"/>
    <n v="1943"/>
    <x v="2"/>
    <s v="Widow"/>
    <n v="51381.5"/>
    <n v="0"/>
    <n v="0"/>
    <d v="2013-10-30T00:00:00"/>
    <n v="75"/>
    <n v="532"/>
    <n v="126"/>
    <n v="490"/>
    <n v="164"/>
    <n v="126"/>
    <n v="126"/>
    <n v="1"/>
    <n v="5"/>
    <n v="5"/>
    <n v="11"/>
    <n v="1"/>
    <x v="0"/>
    <x v="0"/>
    <x v="1"/>
    <x v="0"/>
    <x v="0"/>
    <n v="0"/>
    <n v="3"/>
    <n v="11"/>
    <x v="0"/>
  </r>
  <r>
    <n v="1052"/>
    <n v="1969"/>
    <x v="0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x v="0"/>
    <x v="0"/>
    <x v="0"/>
    <x v="0"/>
    <x v="0"/>
    <n v="0"/>
    <n v="3"/>
    <n v="11"/>
    <x v="1"/>
  </r>
  <r>
    <n v="2802"/>
    <n v="1992"/>
    <x v="4"/>
    <s v="Married"/>
    <n v="87000"/>
    <n v="0"/>
    <n v="0"/>
    <d v="2012-12-15T00:00:00"/>
    <n v="61"/>
    <n v="196"/>
    <n v="25"/>
    <n v="607"/>
    <n v="67"/>
    <n v="17"/>
    <n v="49"/>
    <n v="1"/>
    <n v="4"/>
    <n v="6"/>
    <n v="7"/>
    <n v="2"/>
    <x v="0"/>
    <x v="0"/>
    <x v="0"/>
    <x v="0"/>
    <x v="0"/>
    <n v="0"/>
    <n v="3"/>
    <n v="11"/>
    <x v="1"/>
  </r>
  <r>
    <n v="6343"/>
    <n v="1959"/>
    <x v="0"/>
    <s v="Married"/>
    <n v="79823"/>
    <n v="0"/>
    <n v="1"/>
    <d v="2014-03-31T00:00:00"/>
    <n v="6"/>
    <n v="835"/>
    <n v="73"/>
    <n v="380"/>
    <n v="114"/>
    <n v="73"/>
    <n v="43"/>
    <n v="1"/>
    <n v="6"/>
    <n v="9"/>
    <n v="7"/>
    <n v="2"/>
    <x v="0"/>
    <x v="1"/>
    <x v="0"/>
    <x v="0"/>
    <x v="0"/>
    <n v="0"/>
    <n v="3"/>
    <n v="11"/>
    <x v="1"/>
  </r>
  <r>
    <n v="6507"/>
    <n v="1980"/>
    <x v="0"/>
    <s v="Single"/>
    <n v="30828"/>
    <n v="1"/>
    <n v="0"/>
    <d v="2013-10-04T00:00:00"/>
    <n v="16"/>
    <n v="16"/>
    <n v="11"/>
    <n v="15"/>
    <n v="2"/>
    <n v="0"/>
    <n v="12"/>
    <n v="2"/>
    <n v="1"/>
    <n v="1"/>
    <n v="4"/>
    <n v="3"/>
    <x v="0"/>
    <x v="0"/>
    <x v="0"/>
    <x v="0"/>
    <x v="0"/>
    <n v="0"/>
    <n v="3"/>
    <n v="11"/>
    <x v="1"/>
  </r>
  <r>
    <n v="7901"/>
    <n v="1971"/>
    <x v="2"/>
    <s v="Married"/>
    <n v="34109"/>
    <n v="0"/>
    <n v="1"/>
    <d v="2013-11-06T00:00:00"/>
    <n v="39"/>
    <n v="9"/>
    <n v="1"/>
    <n v="5"/>
    <n v="2"/>
    <n v="1"/>
    <n v="4"/>
    <n v="1"/>
    <n v="0"/>
    <n v="0"/>
    <n v="3"/>
    <n v="4"/>
    <x v="0"/>
    <x v="0"/>
    <x v="0"/>
    <x v="0"/>
    <x v="0"/>
    <n v="0"/>
    <n v="3"/>
    <n v="11"/>
    <x v="1"/>
  </r>
  <r>
    <n v="4865"/>
    <n v="1974"/>
    <x v="2"/>
    <s v="Divorced"/>
    <n v="53367"/>
    <n v="1"/>
    <n v="1"/>
    <d v="2013-08-31T00:00:00"/>
    <n v="2"/>
    <n v="229"/>
    <n v="7"/>
    <n v="140"/>
    <n v="10"/>
    <n v="3"/>
    <n v="11"/>
    <n v="7"/>
    <n v="5"/>
    <n v="1"/>
    <n v="8"/>
    <n v="7"/>
    <x v="0"/>
    <x v="0"/>
    <x v="0"/>
    <x v="0"/>
    <x v="0"/>
    <n v="0"/>
    <n v="3"/>
    <n v="11"/>
    <x v="0"/>
  </r>
  <r>
    <n v="2686"/>
    <n v="1969"/>
    <x v="3"/>
    <s v="Together"/>
    <n v="22390"/>
    <n v="0"/>
    <n v="0"/>
    <d v="2013-10-21T00:00:00"/>
    <n v="49"/>
    <n v="0"/>
    <n v="1"/>
    <n v="4"/>
    <n v="15"/>
    <n v="1"/>
    <n v="5"/>
    <n v="1"/>
    <n v="1"/>
    <n v="0"/>
    <n v="2"/>
    <n v="7"/>
    <x v="0"/>
    <x v="0"/>
    <x v="0"/>
    <x v="0"/>
    <x v="0"/>
    <n v="0"/>
    <n v="3"/>
    <n v="11"/>
    <x v="1"/>
  </r>
  <r>
    <n v="3107"/>
    <n v="1976"/>
    <x v="0"/>
    <s v="Together"/>
    <n v="71322"/>
    <n v="0"/>
    <n v="1"/>
    <d v="2014-05-02T00:00:00"/>
    <n v="31"/>
    <n v="121"/>
    <n v="24"/>
    <n v="124"/>
    <n v="24"/>
    <n v="15"/>
    <n v="42"/>
    <n v="1"/>
    <n v="4"/>
    <n v="1"/>
    <n v="7"/>
    <n v="2"/>
    <x v="0"/>
    <x v="0"/>
    <x v="0"/>
    <x v="0"/>
    <x v="0"/>
    <n v="0"/>
    <n v="3"/>
    <n v="11"/>
    <x v="1"/>
  </r>
  <r>
    <n v="7734"/>
    <n v="1993"/>
    <x v="0"/>
    <s v="Absurd"/>
    <n v="79244"/>
    <n v="0"/>
    <n v="0"/>
    <d v="2012-12-19T00:00:00"/>
    <n v="58"/>
    <n v="471"/>
    <n v="102"/>
    <n v="125"/>
    <n v="212"/>
    <n v="61"/>
    <n v="245"/>
    <n v="1"/>
    <n v="4"/>
    <n v="10"/>
    <n v="7"/>
    <n v="1"/>
    <x v="0"/>
    <x v="0"/>
    <x v="1"/>
    <x v="1"/>
    <x v="0"/>
    <n v="0"/>
    <n v="3"/>
    <n v="11"/>
    <x v="0"/>
  </r>
  <r>
    <n v="1146"/>
    <n v="1949"/>
    <x v="2"/>
    <s v="Together"/>
    <n v="49912"/>
    <n v="0"/>
    <n v="1"/>
    <d v="2012-09-07T00:00:00"/>
    <n v="5"/>
    <n v="520"/>
    <n v="8"/>
    <n v="223"/>
    <n v="32"/>
    <n v="49"/>
    <n v="42"/>
    <n v="4"/>
    <n v="10"/>
    <n v="5"/>
    <n v="7"/>
    <n v="8"/>
    <x v="1"/>
    <x v="0"/>
    <x v="0"/>
    <x v="0"/>
    <x v="0"/>
    <n v="0"/>
    <n v="3"/>
    <n v="11"/>
    <x v="0"/>
  </r>
  <r>
    <n v="11031"/>
    <n v="1950"/>
    <x v="1"/>
    <s v="Married"/>
    <n v="48699"/>
    <n v="1"/>
    <n v="1"/>
    <d v="2013-05-21T00:00:00"/>
    <n v="90"/>
    <n v="26"/>
    <n v="1"/>
    <n v="10"/>
    <n v="2"/>
    <n v="0"/>
    <n v="1"/>
    <n v="1"/>
    <n v="1"/>
    <n v="0"/>
    <n v="3"/>
    <n v="5"/>
    <x v="0"/>
    <x v="0"/>
    <x v="0"/>
    <x v="0"/>
    <x v="0"/>
    <n v="0"/>
    <n v="3"/>
    <n v="11"/>
    <x v="1"/>
  </r>
  <r>
    <n v="7428"/>
    <n v="1975"/>
    <x v="0"/>
    <s v="Together"/>
    <n v="80144"/>
    <n v="0"/>
    <n v="0"/>
    <d v="2013-09-30T00:00:00"/>
    <n v="47"/>
    <n v="240"/>
    <n v="132"/>
    <n v="445"/>
    <n v="250"/>
    <n v="192"/>
    <n v="108"/>
    <n v="1"/>
    <n v="3"/>
    <n v="7"/>
    <n v="8"/>
    <n v="1"/>
    <x v="0"/>
    <x v="0"/>
    <x v="0"/>
    <x v="0"/>
    <x v="0"/>
    <n v="0"/>
    <n v="3"/>
    <n v="11"/>
    <x v="1"/>
  </r>
  <r>
    <n v="975"/>
    <n v="1956"/>
    <x v="0"/>
    <s v="Single"/>
    <n v="54252"/>
    <n v="1"/>
    <n v="1"/>
    <d v="2013-05-28T00:00:00"/>
    <n v="25"/>
    <n v="178"/>
    <n v="4"/>
    <n v="26"/>
    <n v="8"/>
    <n v="4"/>
    <n v="44"/>
    <n v="5"/>
    <n v="4"/>
    <n v="1"/>
    <n v="5"/>
    <n v="6"/>
    <x v="0"/>
    <x v="0"/>
    <x v="0"/>
    <x v="0"/>
    <x v="0"/>
    <n v="0"/>
    <n v="3"/>
    <n v="11"/>
    <x v="1"/>
  </r>
  <r>
    <n v="1103"/>
    <n v="1976"/>
    <x v="2"/>
    <s v="Married"/>
    <n v="81929"/>
    <n v="1"/>
    <n v="0"/>
    <d v="2012-09-29T00:00:00"/>
    <n v="60"/>
    <n v="1486"/>
    <n v="55"/>
    <n v="278"/>
    <n v="49"/>
    <n v="0"/>
    <n v="185"/>
    <n v="2"/>
    <n v="4"/>
    <n v="4"/>
    <n v="10"/>
    <n v="6"/>
    <x v="1"/>
    <x v="0"/>
    <x v="1"/>
    <x v="0"/>
    <x v="0"/>
    <n v="0"/>
    <n v="3"/>
    <n v="11"/>
    <x v="0"/>
  </r>
  <r>
    <n v="3422"/>
    <n v="1975"/>
    <x v="0"/>
    <s v="Married"/>
    <n v="76068"/>
    <n v="0"/>
    <n v="1"/>
    <d v="2012-11-29T00:00:00"/>
    <n v="67"/>
    <n v="1115"/>
    <n v="12"/>
    <n v="128"/>
    <n v="33"/>
    <n v="12"/>
    <n v="76"/>
    <n v="1"/>
    <n v="2"/>
    <n v="3"/>
    <n v="4"/>
    <n v="6"/>
    <x v="0"/>
    <x v="1"/>
    <x v="0"/>
    <x v="0"/>
    <x v="1"/>
    <n v="0"/>
    <n v="3"/>
    <n v="11"/>
    <x v="1"/>
  </r>
  <r>
    <n v="1055"/>
    <n v="1976"/>
    <x v="2"/>
    <s v="Married"/>
    <n v="53204"/>
    <n v="1"/>
    <n v="1"/>
    <d v="2014-03-20T00:00:00"/>
    <n v="40"/>
    <n v="29"/>
    <n v="0"/>
    <n v="8"/>
    <n v="2"/>
    <n v="0"/>
    <n v="6"/>
    <n v="1"/>
    <n v="1"/>
    <n v="0"/>
    <n v="3"/>
    <n v="4"/>
    <x v="0"/>
    <x v="0"/>
    <x v="0"/>
    <x v="0"/>
    <x v="0"/>
    <n v="0"/>
    <n v="3"/>
    <n v="11"/>
    <x v="1"/>
  </r>
  <r>
    <n v="6544"/>
    <n v="1949"/>
    <x v="1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x v="0"/>
    <x v="0"/>
    <x v="0"/>
    <x v="0"/>
    <x v="0"/>
    <n v="0"/>
    <n v="3"/>
    <n v="11"/>
    <x v="1"/>
  </r>
  <r>
    <n v="1241"/>
    <n v="1984"/>
    <x v="4"/>
    <s v="Married"/>
    <n v="14796"/>
    <n v="1"/>
    <n v="0"/>
    <d v="2012-09-17T00:00:00"/>
    <n v="1"/>
    <n v="13"/>
    <n v="3"/>
    <n v="8"/>
    <n v="7"/>
    <n v="4"/>
    <n v="16"/>
    <n v="2"/>
    <n v="1"/>
    <n v="0"/>
    <n v="3"/>
    <n v="9"/>
    <x v="0"/>
    <x v="0"/>
    <x v="0"/>
    <x v="0"/>
    <x v="0"/>
    <n v="0"/>
    <n v="3"/>
    <n v="11"/>
    <x v="0"/>
  </r>
  <r>
    <n v="2909"/>
    <n v="1974"/>
    <x v="1"/>
    <s v="Married"/>
    <n v="78128"/>
    <n v="0"/>
    <n v="1"/>
    <d v="2014-02-19T00:00:00"/>
    <n v="89"/>
    <n v="934"/>
    <n v="24"/>
    <n v="230"/>
    <n v="16"/>
    <n v="24"/>
    <n v="36"/>
    <n v="2"/>
    <n v="8"/>
    <n v="4"/>
    <n v="6"/>
    <n v="3"/>
    <x v="0"/>
    <x v="1"/>
    <x v="1"/>
    <x v="0"/>
    <x v="0"/>
    <n v="0"/>
    <n v="3"/>
    <n v="11"/>
    <x v="1"/>
  </r>
  <r>
    <n v="5802"/>
    <n v="1972"/>
    <x v="3"/>
    <s v="Married"/>
    <n v="14188"/>
    <n v="0"/>
    <n v="0"/>
    <d v="2013-02-28T00:00:00"/>
    <n v="40"/>
    <n v="2"/>
    <n v="7"/>
    <n v="11"/>
    <n v="16"/>
    <n v="12"/>
    <n v="27"/>
    <n v="1"/>
    <n v="2"/>
    <n v="0"/>
    <n v="4"/>
    <n v="6"/>
    <x v="0"/>
    <x v="0"/>
    <x v="0"/>
    <x v="0"/>
    <x v="0"/>
    <n v="0"/>
    <n v="3"/>
    <n v="11"/>
    <x v="1"/>
  </r>
  <r>
    <n v="1407"/>
    <n v="1986"/>
    <x v="3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x v="0"/>
    <x v="0"/>
    <x v="0"/>
    <x v="0"/>
    <x v="0"/>
    <n v="0"/>
    <n v="3"/>
    <n v="11"/>
    <x v="1"/>
  </r>
  <r>
    <n v="6183"/>
    <n v="1962"/>
    <x v="2"/>
    <s v="Married"/>
    <n v="58646"/>
    <n v="0"/>
    <n v="1"/>
    <d v="2013-06-10T00:00:00"/>
    <n v="3"/>
    <n v="62"/>
    <n v="1"/>
    <n v="44"/>
    <n v="6"/>
    <n v="5"/>
    <n v="22"/>
    <n v="1"/>
    <n v="2"/>
    <n v="1"/>
    <n v="4"/>
    <n v="4"/>
    <x v="0"/>
    <x v="0"/>
    <x v="0"/>
    <x v="0"/>
    <x v="0"/>
    <n v="0"/>
    <n v="3"/>
    <n v="11"/>
    <x v="1"/>
  </r>
  <r>
    <n v="340"/>
    <n v="1970"/>
    <x v="0"/>
    <s v="Divorced"/>
    <n v="72967"/>
    <n v="0"/>
    <n v="1"/>
    <d v="2012-12-15T00:00:00"/>
    <n v="1"/>
    <n v="158"/>
    <n v="35"/>
    <n v="179"/>
    <n v="0"/>
    <n v="0"/>
    <n v="125"/>
    <n v="2"/>
    <n v="7"/>
    <n v="2"/>
    <n v="8"/>
    <n v="5"/>
    <x v="1"/>
    <x v="0"/>
    <x v="0"/>
    <x v="0"/>
    <x v="0"/>
    <n v="0"/>
    <n v="3"/>
    <n v="11"/>
    <x v="0"/>
  </r>
  <r>
    <n v="5991"/>
    <n v="1949"/>
    <x v="2"/>
    <s v="Married"/>
    <n v="48150"/>
    <n v="0"/>
    <n v="1"/>
    <d v="2013-06-08T00:00:00"/>
    <n v="24"/>
    <n v="173"/>
    <n v="2"/>
    <n v="39"/>
    <n v="3"/>
    <n v="2"/>
    <n v="47"/>
    <n v="3"/>
    <n v="5"/>
    <n v="1"/>
    <n v="4"/>
    <n v="7"/>
    <x v="0"/>
    <x v="0"/>
    <x v="0"/>
    <x v="0"/>
    <x v="0"/>
    <n v="0"/>
    <n v="3"/>
    <n v="11"/>
    <x v="1"/>
  </r>
  <r>
    <n v="3104"/>
    <n v="1961"/>
    <x v="0"/>
    <s v="Single"/>
    <n v="82332"/>
    <n v="0"/>
    <n v="0"/>
    <d v="2012-09-17T00:00:00"/>
    <n v="89"/>
    <n v="830"/>
    <n v="59"/>
    <n v="968"/>
    <n v="51"/>
    <n v="79"/>
    <n v="19"/>
    <n v="1"/>
    <n v="5"/>
    <n v="3"/>
    <n v="12"/>
    <n v="2"/>
    <x v="0"/>
    <x v="0"/>
    <x v="1"/>
    <x v="0"/>
    <x v="0"/>
    <n v="0"/>
    <n v="3"/>
    <n v="11"/>
    <x v="0"/>
  </r>
  <r>
    <n v="9729"/>
    <n v="1955"/>
    <x v="0"/>
    <s v="Widow"/>
    <n v="58275"/>
    <n v="1"/>
    <n v="1"/>
    <d v="2013-06-02T00:00:00"/>
    <n v="48"/>
    <n v="189"/>
    <n v="10"/>
    <n v="253"/>
    <n v="56"/>
    <n v="43"/>
    <n v="64"/>
    <n v="6"/>
    <n v="8"/>
    <n v="2"/>
    <n v="7"/>
    <n v="7"/>
    <x v="0"/>
    <x v="0"/>
    <x v="0"/>
    <x v="0"/>
    <x v="0"/>
    <n v="0"/>
    <n v="3"/>
    <n v="11"/>
    <x v="1"/>
  </r>
  <r>
    <n v="1008"/>
    <n v="1981"/>
    <x v="1"/>
    <s v="Together"/>
    <n v="44953"/>
    <n v="0"/>
    <n v="0"/>
    <d v="2012-12-21T00:00:00"/>
    <n v="31"/>
    <n v="728"/>
    <n v="17"/>
    <n v="133"/>
    <n v="11"/>
    <n v="8"/>
    <n v="124"/>
    <n v="1"/>
    <n v="7"/>
    <n v="3"/>
    <n v="13"/>
    <n v="6"/>
    <x v="1"/>
    <x v="0"/>
    <x v="0"/>
    <x v="0"/>
    <x v="0"/>
    <n v="0"/>
    <n v="3"/>
    <n v="11"/>
    <x v="1"/>
  </r>
  <r>
    <n v="11091"/>
    <n v="1953"/>
    <x v="0"/>
    <s v="Together"/>
    <n v="34587"/>
    <n v="1"/>
    <n v="1"/>
    <d v="2014-05-16T00:00:00"/>
    <n v="68"/>
    <n v="7"/>
    <n v="2"/>
    <n v="9"/>
    <n v="2"/>
    <n v="0"/>
    <n v="2"/>
    <n v="2"/>
    <n v="1"/>
    <n v="0"/>
    <n v="3"/>
    <n v="4"/>
    <x v="0"/>
    <x v="0"/>
    <x v="0"/>
    <x v="0"/>
    <x v="0"/>
    <n v="0"/>
    <n v="3"/>
    <n v="11"/>
    <x v="1"/>
  </r>
  <r>
    <n v="3969"/>
    <n v="1974"/>
    <x v="2"/>
    <s v="Together"/>
    <n v="43018"/>
    <n v="0"/>
    <n v="1"/>
    <d v="2013-11-01T00:00:00"/>
    <n v="46"/>
    <n v="35"/>
    <n v="4"/>
    <n v="17"/>
    <n v="7"/>
    <n v="6"/>
    <n v="64"/>
    <n v="1"/>
    <n v="2"/>
    <n v="2"/>
    <n v="2"/>
    <n v="5"/>
    <x v="0"/>
    <x v="0"/>
    <x v="0"/>
    <x v="0"/>
    <x v="0"/>
    <n v="0"/>
    <n v="3"/>
    <n v="11"/>
    <x v="1"/>
  </r>
  <r>
    <n v="1916"/>
    <n v="1954"/>
    <x v="2"/>
    <s v="Married"/>
    <n v="45736"/>
    <n v="0"/>
    <n v="1"/>
    <d v="2013-07-24T00:00:00"/>
    <n v="92"/>
    <n v="188"/>
    <n v="3"/>
    <n v="180"/>
    <n v="20"/>
    <n v="3"/>
    <n v="43"/>
    <n v="5"/>
    <n v="7"/>
    <n v="1"/>
    <n v="6"/>
    <n v="7"/>
    <x v="0"/>
    <x v="0"/>
    <x v="0"/>
    <x v="0"/>
    <x v="0"/>
    <n v="0"/>
    <n v="3"/>
    <n v="11"/>
    <x v="1"/>
  </r>
  <r>
    <n v="9907"/>
    <n v="1969"/>
    <x v="2"/>
    <s v="Together"/>
    <n v="66476"/>
    <n v="0"/>
    <n v="1"/>
    <d v="2013-12-04T00:00:00"/>
    <n v="80"/>
    <n v="742"/>
    <n v="28"/>
    <n v="152"/>
    <n v="25"/>
    <n v="9"/>
    <n v="57"/>
    <n v="2"/>
    <n v="6"/>
    <n v="8"/>
    <n v="10"/>
    <n v="4"/>
    <x v="0"/>
    <x v="0"/>
    <x v="0"/>
    <x v="0"/>
    <x v="0"/>
    <n v="0"/>
    <n v="3"/>
    <n v="11"/>
    <x v="1"/>
  </r>
  <r>
    <n v="87"/>
    <n v="1981"/>
    <x v="4"/>
    <s v="Married"/>
    <n v="27733"/>
    <n v="1"/>
    <n v="0"/>
    <d v="2013-08-26T00:00:00"/>
    <n v="16"/>
    <n v="0"/>
    <n v="7"/>
    <n v="5"/>
    <n v="26"/>
    <n v="2"/>
    <n v="17"/>
    <n v="2"/>
    <n v="2"/>
    <n v="0"/>
    <n v="3"/>
    <n v="7"/>
    <x v="0"/>
    <x v="0"/>
    <x v="0"/>
    <x v="0"/>
    <x v="0"/>
    <n v="0"/>
    <n v="3"/>
    <n v="11"/>
    <x v="1"/>
  </r>
  <r>
    <n v="8659"/>
    <n v="1952"/>
    <x v="1"/>
    <s v="Together"/>
    <n v="69805"/>
    <n v="0"/>
    <n v="1"/>
    <d v="2014-01-21T00:00:00"/>
    <n v="50"/>
    <n v="750"/>
    <n v="71"/>
    <n v="174"/>
    <n v="13"/>
    <n v="10"/>
    <n v="20"/>
    <n v="2"/>
    <n v="6"/>
    <n v="8"/>
    <n v="11"/>
    <n v="2"/>
    <x v="0"/>
    <x v="0"/>
    <x v="0"/>
    <x v="0"/>
    <x v="0"/>
    <n v="0"/>
    <n v="3"/>
    <n v="11"/>
    <x v="1"/>
  </r>
  <r>
    <n v="6262"/>
    <n v="1962"/>
    <x v="2"/>
    <s v="Single"/>
    <n v="72217"/>
    <n v="0"/>
    <n v="0"/>
    <d v="2013-04-10T00:00:00"/>
    <n v="93"/>
    <n v="816"/>
    <n v="42"/>
    <n v="450"/>
    <n v="55"/>
    <n v="56"/>
    <n v="154"/>
    <n v="1"/>
    <n v="3"/>
    <n v="10"/>
    <n v="8"/>
    <n v="2"/>
    <x v="0"/>
    <x v="0"/>
    <x v="0"/>
    <x v="0"/>
    <x v="0"/>
    <n v="0"/>
    <n v="3"/>
    <n v="11"/>
    <x v="1"/>
  </r>
  <r>
    <n v="6147"/>
    <n v="1971"/>
    <x v="0"/>
    <s v="Divorced"/>
    <n v="25818"/>
    <n v="1"/>
    <n v="0"/>
    <d v="2012-10-18T00:00:00"/>
    <n v="51"/>
    <n v="5"/>
    <n v="2"/>
    <n v="8"/>
    <n v="2"/>
    <n v="2"/>
    <n v="9"/>
    <n v="1"/>
    <n v="0"/>
    <n v="1"/>
    <n v="2"/>
    <n v="7"/>
    <x v="0"/>
    <x v="0"/>
    <x v="0"/>
    <x v="0"/>
    <x v="0"/>
    <n v="0"/>
    <n v="3"/>
    <n v="11"/>
    <x v="1"/>
  </r>
  <r>
    <n v="8832"/>
    <n v="1976"/>
    <x v="2"/>
    <s v="Together"/>
    <n v="37509"/>
    <n v="1"/>
    <n v="0"/>
    <d v="2012-09-12T00:00:00"/>
    <n v="24"/>
    <n v="37"/>
    <n v="5"/>
    <n v="56"/>
    <n v="12"/>
    <n v="8"/>
    <n v="5"/>
    <n v="2"/>
    <n v="3"/>
    <n v="0"/>
    <n v="4"/>
    <n v="7"/>
    <x v="0"/>
    <x v="0"/>
    <x v="0"/>
    <x v="0"/>
    <x v="0"/>
    <n v="0"/>
    <n v="3"/>
    <n v="11"/>
    <x v="1"/>
  </r>
  <r>
    <n v="10067"/>
    <n v="1976"/>
    <x v="4"/>
    <s v="Together"/>
    <n v="25176"/>
    <n v="1"/>
    <n v="1"/>
    <d v="2013-08-10T00:00:00"/>
    <n v="79"/>
    <n v="4"/>
    <n v="0"/>
    <n v="4"/>
    <n v="0"/>
    <n v="0"/>
    <n v="5"/>
    <n v="1"/>
    <n v="1"/>
    <n v="0"/>
    <n v="2"/>
    <n v="7"/>
    <x v="0"/>
    <x v="0"/>
    <x v="0"/>
    <x v="0"/>
    <x v="0"/>
    <n v="0"/>
    <n v="3"/>
    <n v="11"/>
    <x v="1"/>
  </r>
  <r>
    <n v="7532"/>
    <n v="1980"/>
    <x v="0"/>
    <s v="Married"/>
    <n v="43586"/>
    <n v="0"/>
    <n v="1"/>
    <d v="2012-08-30T00:00:00"/>
    <n v="26"/>
    <n v="99"/>
    <n v="2"/>
    <n v="11"/>
    <n v="4"/>
    <n v="0"/>
    <n v="16"/>
    <n v="3"/>
    <n v="3"/>
    <n v="0"/>
    <n v="4"/>
    <n v="8"/>
    <x v="0"/>
    <x v="0"/>
    <x v="0"/>
    <x v="0"/>
    <x v="0"/>
    <n v="0"/>
    <n v="3"/>
    <n v="11"/>
    <x v="1"/>
  </r>
  <r>
    <n v="4915"/>
    <n v="1956"/>
    <x v="4"/>
    <s v="Married"/>
    <n v="53230"/>
    <n v="0"/>
    <n v="1"/>
    <d v="2012-08-03T00:00:00"/>
    <n v="86"/>
    <n v="176"/>
    <n v="72"/>
    <n v="98"/>
    <n v="136"/>
    <n v="21"/>
    <n v="229"/>
    <n v="4"/>
    <n v="5"/>
    <n v="2"/>
    <n v="12"/>
    <n v="5"/>
    <x v="0"/>
    <x v="0"/>
    <x v="0"/>
    <x v="0"/>
    <x v="0"/>
    <n v="0"/>
    <n v="3"/>
    <n v="11"/>
    <x v="1"/>
  </r>
  <r>
    <n v="2115"/>
    <n v="1957"/>
    <x v="0"/>
    <s v="Together"/>
    <n v="50116"/>
    <n v="1"/>
    <n v="1"/>
    <d v="2014-06-20T00:00:00"/>
    <n v="68"/>
    <n v="54"/>
    <n v="0"/>
    <n v="10"/>
    <n v="0"/>
    <n v="0"/>
    <n v="2"/>
    <n v="2"/>
    <n v="1"/>
    <n v="0"/>
    <n v="4"/>
    <n v="5"/>
    <x v="0"/>
    <x v="1"/>
    <x v="0"/>
    <x v="0"/>
    <x v="0"/>
    <n v="0"/>
    <n v="3"/>
    <n v="11"/>
    <x v="1"/>
  </r>
  <r>
    <n v="2088"/>
    <n v="1972"/>
    <x v="0"/>
    <s v="Together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x v="0"/>
    <x v="1"/>
    <x v="1"/>
    <x v="0"/>
    <x v="1"/>
    <n v="0"/>
    <n v="3"/>
    <n v="11"/>
    <x v="1"/>
  </r>
  <r>
    <n v="2493"/>
    <n v="1966"/>
    <x v="0"/>
    <s v="Married"/>
    <n v="61286"/>
    <n v="0"/>
    <n v="1"/>
    <d v="2013-08-02T00:00:00"/>
    <n v="34"/>
    <n v="356"/>
    <n v="0"/>
    <n v="107"/>
    <n v="19"/>
    <n v="9"/>
    <n v="117"/>
    <n v="2"/>
    <n v="7"/>
    <n v="1"/>
    <n v="8"/>
    <n v="5"/>
    <x v="0"/>
    <x v="0"/>
    <x v="0"/>
    <x v="0"/>
    <x v="0"/>
    <n v="0"/>
    <n v="3"/>
    <n v="11"/>
    <x v="1"/>
  </r>
  <r>
    <n v="6292"/>
    <n v="1986"/>
    <x v="1"/>
    <s v="Married"/>
    <n v="82333"/>
    <n v="0"/>
    <n v="0"/>
    <d v="2013-03-30T00:00:00"/>
    <n v="60"/>
    <n v="1311"/>
    <n v="0"/>
    <n v="359"/>
    <n v="46"/>
    <n v="89"/>
    <n v="17"/>
    <n v="1"/>
    <n v="4"/>
    <n v="3"/>
    <n v="10"/>
    <n v="2"/>
    <x v="0"/>
    <x v="0"/>
    <x v="1"/>
    <x v="0"/>
    <x v="0"/>
    <n v="0"/>
    <n v="3"/>
    <n v="11"/>
    <x v="0"/>
  </r>
  <r>
    <n v="1631"/>
    <n v="1965"/>
    <x v="1"/>
    <s v="Together"/>
    <n v="65220"/>
    <n v="0"/>
    <n v="0"/>
    <d v="2012-09-03T00:00:00"/>
    <n v="3"/>
    <n v="890"/>
    <n v="63"/>
    <n v="292"/>
    <n v="0"/>
    <n v="25"/>
    <n v="12"/>
    <n v="4"/>
    <n v="8"/>
    <n v="4"/>
    <n v="7"/>
    <n v="6"/>
    <x v="0"/>
    <x v="0"/>
    <x v="0"/>
    <x v="0"/>
    <x v="0"/>
    <n v="0"/>
    <n v="3"/>
    <n v="11"/>
    <x v="0"/>
  </r>
  <r>
    <n v="10104"/>
    <n v="1974"/>
    <x v="0"/>
    <s v="Together"/>
    <n v="33590"/>
    <n v="2"/>
    <n v="1"/>
    <d v="2013-11-03T00:00:00"/>
    <n v="65"/>
    <n v="4"/>
    <n v="0"/>
    <n v="2"/>
    <n v="0"/>
    <n v="0"/>
    <n v="2"/>
    <n v="1"/>
    <n v="1"/>
    <n v="0"/>
    <n v="2"/>
    <n v="7"/>
    <x v="0"/>
    <x v="0"/>
    <x v="0"/>
    <x v="0"/>
    <x v="0"/>
    <n v="0"/>
    <n v="3"/>
    <n v="11"/>
    <x v="1"/>
  </r>
  <r>
    <n v="3006"/>
    <n v="1976"/>
    <x v="0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x v="0"/>
    <x v="0"/>
    <x v="0"/>
    <x v="0"/>
    <x v="0"/>
    <n v="0"/>
    <n v="3"/>
    <n v="11"/>
    <x v="1"/>
  </r>
  <r>
    <n v="3919"/>
    <n v="1976"/>
    <x v="2"/>
    <s v="Single"/>
    <n v="72309"/>
    <n v="0"/>
    <n v="0"/>
    <d v="2013-03-11T00:00:00"/>
    <n v="64"/>
    <n v="960"/>
    <n v="0"/>
    <n v="883"/>
    <n v="50"/>
    <n v="38"/>
    <n v="0"/>
    <n v="1"/>
    <n v="5"/>
    <n v="6"/>
    <n v="8"/>
    <n v="3"/>
    <x v="0"/>
    <x v="0"/>
    <x v="0"/>
    <x v="1"/>
    <x v="0"/>
    <n v="0"/>
    <n v="3"/>
    <n v="11"/>
    <x v="0"/>
  </r>
  <r>
    <n v="11181"/>
    <n v="1949"/>
    <x v="1"/>
    <s v="Married"/>
    <n v="156924"/>
    <n v="0"/>
    <n v="0"/>
    <d v="2013-08-29T00:00:00"/>
    <n v="85"/>
    <n v="2"/>
    <n v="1"/>
    <n v="2"/>
    <n v="1"/>
    <n v="1"/>
    <n v="1"/>
    <n v="0"/>
    <n v="0"/>
    <n v="0"/>
    <n v="0"/>
    <n v="0"/>
    <x v="0"/>
    <x v="0"/>
    <x v="0"/>
    <x v="0"/>
    <x v="0"/>
    <n v="0"/>
    <n v="3"/>
    <n v="11"/>
    <x v="1"/>
  </r>
  <r>
    <n v="642"/>
    <n v="1980"/>
    <x v="3"/>
    <s v="Married"/>
    <n v="16005"/>
    <n v="1"/>
    <n v="0"/>
    <d v="2012-08-14T00:00:00"/>
    <n v="69"/>
    <n v="1"/>
    <n v="3"/>
    <n v="2"/>
    <n v="20"/>
    <n v="30"/>
    <n v="47"/>
    <n v="3"/>
    <n v="2"/>
    <n v="1"/>
    <n v="2"/>
    <n v="8"/>
    <x v="0"/>
    <x v="0"/>
    <x v="0"/>
    <x v="0"/>
    <x v="0"/>
    <n v="0"/>
    <n v="3"/>
    <n v="11"/>
    <x v="1"/>
  </r>
  <r>
    <n v="4369"/>
    <n v="1957"/>
    <x v="2"/>
    <s v="Absurd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x v="0"/>
    <x v="0"/>
    <x v="0"/>
    <x v="0"/>
    <x v="0"/>
    <n v="0"/>
    <n v="3"/>
    <n v="11"/>
    <x v="1"/>
  </r>
  <r>
    <n v="10127"/>
    <n v="1965"/>
    <x v="0"/>
    <s v="Married"/>
    <n v="58692"/>
    <n v="0"/>
    <n v="1"/>
    <d v="2014-04-06T00:00:00"/>
    <n v="21"/>
    <n v="301"/>
    <n v="11"/>
    <n v="61"/>
    <n v="4"/>
    <n v="7"/>
    <n v="11"/>
    <n v="1"/>
    <n v="8"/>
    <n v="2"/>
    <n v="4"/>
    <n v="7"/>
    <x v="0"/>
    <x v="0"/>
    <x v="0"/>
    <x v="0"/>
    <x v="0"/>
    <n v="0"/>
    <n v="3"/>
    <n v="11"/>
    <x v="1"/>
  </r>
  <r>
    <n v="271"/>
    <n v="1969"/>
    <x v="0"/>
    <s v="Widow"/>
    <n v="40590"/>
    <n v="1"/>
    <n v="1"/>
    <d v="2013-10-02T00:00:00"/>
    <n v="30"/>
    <n v="154"/>
    <n v="0"/>
    <n v="50"/>
    <n v="6"/>
    <n v="11"/>
    <n v="37"/>
    <n v="5"/>
    <n v="3"/>
    <n v="4"/>
    <n v="3"/>
    <n v="6"/>
    <x v="1"/>
    <x v="0"/>
    <x v="0"/>
    <x v="0"/>
    <x v="0"/>
    <n v="0"/>
    <n v="3"/>
    <n v="11"/>
    <x v="1"/>
  </r>
  <r>
    <n v="4973"/>
    <n v="1970"/>
    <x v="0"/>
    <s v="Single"/>
    <n v="20587"/>
    <n v="1"/>
    <n v="0"/>
    <d v="2014-05-11T00:00:00"/>
    <n v="39"/>
    <n v="2"/>
    <n v="3"/>
    <n v="6"/>
    <n v="4"/>
    <n v="1"/>
    <n v="9"/>
    <n v="1"/>
    <n v="1"/>
    <n v="1"/>
    <n v="2"/>
    <n v="7"/>
    <x v="0"/>
    <x v="0"/>
    <x v="0"/>
    <x v="0"/>
    <x v="0"/>
    <n v="0"/>
    <n v="3"/>
    <n v="11"/>
    <x v="1"/>
  </r>
  <r>
    <n v="2948"/>
    <n v="1954"/>
    <x v="2"/>
    <s v="Divorced"/>
    <n v="62637"/>
    <n v="0"/>
    <n v="1"/>
    <d v="2014-03-01T00:00:00"/>
    <n v="76"/>
    <n v="104"/>
    <n v="12"/>
    <n v="48"/>
    <n v="4"/>
    <n v="12"/>
    <n v="5"/>
    <n v="1"/>
    <n v="2"/>
    <n v="2"/>
    <n v="5"/>
    <n v="2"/>
    <x v="0"/>
    <x v="0"/>
    <x v="0"/>
    <x v="0"/>
    <x v="0"/>
    <n v="0"/>
    <n v="3"/>
    <n v="11"/>
    <x v="1"/>
  </r>
  <r>
    <n v="2715"/>
    <n v="1966"/>
    <x v="2"/>
    <s v="Divorced"/>
    <n v="29435"/>
    <n v="1"/>
    <n v="1"/>
    <d v="2012-08-06T00:00:00"/>
    <n v="11"/>
    <n v="70"/>
    <n v="3"/>
    <n v="37"/>
    <n v="4"/>
    <n v="2"/>
    <n v="64"/>
    <n v="4"/>
    <n v="3"/>
    <n v="2"/>
    <n v="2"/>
    <n v="9"/>
    <x v="0"/>
    <x v="0"/>
    <x v="0"/>
    <x v="0"/>
    <x v="0"/>
    <n v="0"/>
    <n v="3"/>
    <n v="11"/>
    <x v="0"/>
  </r>
  <r>
    <n v="10432"/>
    <n v="1974"/>
    <x v="0"/>
    <s v="Divorced"/>
    <n v="19346"/>
    <n v="1"/>
    <n v="0"/>
    <d v="2014-01-30T00:00:00"/>
    <n v="26"/>
    <n v="2"/>
    <n v="0"/>
    <n v="9"/>
    <n v="3"/>
    <n v="6"/>
    <n v="2"/>
    <n v="1"/>
    <n v="1"/>
    <n v="0"/>
    <n v="3"/>
    <n v="8"/>
    <x v="0"/>
    <x v="0"/>
    <x v="0"/>
    <x v="0"/>
    <x v="0"/>
    <n v="0"/>
    <n v="3"/>
    <n v="11"/>
    <x v="1"/>
  </r>
  <r>
    <n v="9216"/>
    <n v="1971"/>
    <x v="0"/>
    <s v="Married"/>
    <n v="35788"/>
    <n v="1"/>
    <n v="1"/>
    <d v="2014-01-23T00:00:00"/>
    <n v="34"/>
    <n v="23"/>
    <n v="2"/>
    <n v="11"/>
    <n v="3"/>
    <n v="1"/>
    <n v="4"/>
    <n v="2"/>
    <n v="2"/>
    <n v="0"/>
    <n v="3"/>
    <n v="6"/>
    <x v="0"/>
    <x v="0"/>
    <x v="0"/>
    <x v="0"/>
    <x v="0"/>
    <n v="0"/>
    <n v="3"/>
    <n v="11"/>
    <x v="1"/>
  </r>
  <r>
    <n v="7124"/>
    <n v="1968"/>
    <x v="0"/>
    <s v="Divorced"/>
    <n v="36997"/>
    <n v="1"/>
    <n v="1"/>
    <d v="2013-02-01T00:00:00"/>
    <n v="72"/>
    <n v="43"/>
    <n v="4"/>
    <n v="12"/>
    <n v="8"/>
    <n v="0"/>
    <n v="27"/>
    <n v="5"/>
    <n v="2"/>
    <n v="1"/>
    <n v="4"/>
    <n v="5"/>
    <x v="0"/>
    <x v="0"/>
    <x v="0"/>
    <x v="0"/>
    <x v="0"/>
    <n v="0"/>
    <n v="3"/>
    <n v="11"/>
    <x v="1"/>
  </r>
  <r>
    <n v="9727"/>
    <n v="1957"/>
    <x v="0"/>
    <s v="Married"/>
    <n v="23539"/>
    <n v="0"/>
    <n v="0"/>
    <d v="2014-02-28T00:00:00"/>
    <n v="13"/>
    <n v="4"/>
    <n v="24"/>
    <n v="11"/>
    <n v="16"/>
    <n v="1"/>
    <n v="25"/>
    <n v="1"/>
    <n v="2"/>
    <n v="0"/>
    <n v="4"/>
    <n v="6"/>
    <x v="0"/>
    <x v="0"/>
    <x v="0"/>
    <x v="0"/>
    <x v="0"/>
    <n v="0"/>
    <n v="3"/>
    <n v="11"/>
    <x v="1"/>
  </r>
  <r>
    <n v="5136"/>
    <n v="1973"/>
    <x v="0"/>
    <s v="Single"/>
    <n v="65333"/>
    <n v="0"/>
    <n v="1"/>
    <d v="2014-01-17T00:00:00"/>
    <n v="58"/>
    <n v="654"/>
    <n v="7"/>
    <n v="92"/>
    <n v="0"/>
    <n v="15"/>
    <n v="30"/>
    <n v="7"/>
    <n v="9"/>
    <n v="4"/>
    <n v="8"/>
    <n v="6"/>
    <x v="0"/>
    <x v="1"/>
    <x v="1"/>
    <x v="0"/>
    <x v="0"/>
    <n v="0"/>
    <n v="3"/>
    <n v="11"/>
    <x v="1"/>
  </r>
  <r>
    <n v="9790"/>
    <n v="1957"/>
    <x v="0"/>
    <s v="Single"/>
    <n v="78499"/>
    <n v="0"/>
    <n v="0"/>
    <d v="2013-11-23T00:00:00"/>
    <n v="12"/>
    <n v="912"/>
    <n v="72"/>
    <n v="170"/>
    <n v="47"/>
    <n v="36"/>
    <n v="97"/>
    <n v="1"/>
    <n v="11"/>
    <n v="3"/>
    <n v="4"/>
    <n v="4"/>
    <x v="0"/>
    <x v="0"/>
    <x v="1"/>
    <x v="0"/>
    <x v="0"/>
    <n v="0"/>
    <n v="3"/>
    <n v="11"/>
    <x v="0"/>
  </r>
  <r>
    <n v="1818"/>
    <n v="1971"/>
    <x v="1"/>
    <s v="Together"/>
    <n v="29732"/>
    <n v="1"/>
    <n v="0"/>
    <d v="2014-03-25T00:00:00"/>
    <n v="23"/>
    <n v="25"/>
    <n v="0"/>
    <n v="8"/>
    <n v="0"/>
    <n v="1"/>
    <n v="4"/>
    <n v="1"/>
    <n v="2"/>
    <n v="0"/>
    <n v="2"/>
    <n v="9"/>
    <x v="0"/>
    <x v="0"/>
    <x v="0"/>
    <x v="0"/>
    <x v="0"/>
    <n v="0"/>
    <n v="3"/>
    <n v="11"/>
    <x v="1"/>
  </r>
  <r>
    <n v="1100"/>
    <n v="1960"/>
    <x v="2"/>
    <s v="Together"/>
    <n v="41275"/>
    <n v="1"/>
    <n v="2"/>
    <d v="2014-03-24T00:00:00"/>
    <n v="33"/>
    <n v="24"/>
    <n v="4"/>
    <n v="22"/>
    <n v="0"/>
    <n v="2"/>
    <n v="9"/>
    <n v="4"/>
    <n v="3"/>
    <n v="1"/>
    <n v="3"/>
    <n v="5"/>
    <x v="0"/>
    <x v="0"/>
    <x v="0"/>
    <x v="0"/>
    <x v="0"/>
    <n v="0"/>
    <n v="3"/>
    <n v="11"/>
    <x v="1"/>
  </r>
  <r>
    <n v="7873"/>
    <n v="1973"/>
    <x v="1"/>
    <s v="Together"/>
    <n v="63516"/>
    <n v="1"/>
    <n v="1"/>
    <d v="2013-07-06T00:00:00"/>
    <n v="30"/>
    <n v="141"/>
    <n v="11"/>
    <n v="114"/>
    <n v="15"/>
    <n v="14"/>
    <n v="5"/>
    <n v="4"/>
    <n v="4"/>
    <n v="1"/>
    <n v="7"/>
    <n v="5"/>
    <x v="0"/>
    <x v="0"/>
    <x v="0"/>
    <x v="0"/>
    <x v="0"/>
    <n v="0"/>
    <n v="3"/>
    <n v="11"/>
    <x v="1"/>
  </r>
  <r>
    <n v="10609"/>
    <n v="1962"/>
    <x v="1"/>
    <s v="Married"/>
    <n v="42769"/>
    <n v="0"/>
    <n v="1"/>
    <d v="2013-10-12T00:00:00"/>
    <n v="15"/>
    <n v="71"/>
    <n v="0"/>
    <n v="13"/>
    <n v="3"/>
    <n v="1"/>
    <n v="0"/>
    <n v="2"/>
    <n v="1"/>
    <n v="1"/>
    <n v="4"/>
    <n v="4"/>
    <x v="0"/>
    <x v="0"/>
    <x v="0"/>
    <x v="0"/>
    <x v="0"/>
    <n v="0"/>
    <n v="3"/>
    <n v="11"/>
    <x v="1"/>
  </r>
  <r>
    <n v="6950"/>
    <n v="1958"/>
    <x v="2"/>
    <s v="Married"/>
    <n v="49572"/>
    <n v="1"/>
    <n v="1"/>
    <d v="2013-12-15T00:00:00"/>
    <n v="25"/>
    <n v="35"/>
    <n v="1"/>
    <n v="16"/>
    <n v="0"/>
    <n v="1"/>
    <n v="1"/>
    <n v="2"/>
    <n v="2"/>
    <n v="0"/>
    <n v="3"/>
    <n v="7"/>
    <x v="0"/>
    <x v="0"/>
    <x v="0"/>
    <x v="0"/>
    <x v="0"/>
    <n v="0"/>
    <n v="3"/>
    <n v="11"/>
    <x v="1"/>
  </r>
  <r>
    <n v="7233"/>
    <n v="1972"/>
    <x v="0"/>
    <s v="Married"/>
    <n v="69209"/>
    <n v="0"/>
    <n v="0"/>
    <d v="2012-09-17T00:00:00"/>
    <n v="4"/>
    <n v="496"/>
    <n v="32"/>
    <n v="849"/>
    <n v="229"/>
    <n v="48"/>
    <n v="128"/>
    <n v="2"/>
    <n v="5"/>
    <n v="3"/>
    <n v="6"/>
    <n v="4"/>
    <x v="0"/>
    <x v="0"/>
    <x v="0"/>
    <x v="1"/>
    <x v="0"/>
    <n v="0"/>
    <n v="3"/>
    <n v="11"/>
    <x v="1"/>
  </r>
  <r>
    <n v="9481"/>
    <n v="1976"/>
    <x v="0"/>
    <s v="Married"/>
    <n v="17148"/>
    <n v="1"/>
    <n v="0"/>
    <d v="2014-01-28T00:00:00"/>
    <n v="80"/>
    <n v="9"/>
    <n v="9"/>
    <n v="11"/>
    <n v="13"/>
    <n v="10"/>
    <n v="16"/>
    <n v="4"/>
    <n v="3"/>
    <n v="1"/>
    <n v="3"/>
    <n v="8"/>
    <x v="0"/>
    <x v="0"/>
    <x v="0"/>
    <x v="0"/>
    <x v="0"/>
    <n v="0"/>
    <n v="3"/>
    <n v="11"/>
    <x v="1"/>
  </r>
  <r>
    <n v="7699"/>
    <n v="1969"/>
    <x v="0"/>
    <s v="Widow"/>
    <n v="40590"/>
    <n v="1"/>
    <n v="1"/>
    <d v="2013-10-02T00:00:00"/>
    <n v="30"/>
    <n v="154"/>
    <n v="0"/>
    <n v="50"/>
    <n v="6"/>
    <n v="11"/>
    <n v="37"/>
    <n v="5"/>
    <n v="3"/>
    <n v="4"/>
    <n v="3"/>
    <n v="6"/>
    <x v="1"/>
    <x v="0"/>
    <x v="0"/>
    <x v="0"/>
    <x v="0"/>
    <n v="0"/>
    <n v="3"/>
    <n v="11"/>
    <x v="1"/>
  </r>
  <r>
    <n v="2711"/>
    <n v="1976"/>
    <x v="2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x v="0"/>
    <x v="0"/>
    <x v="0"/>
    <x v="0"/>
    <x v="0"/>
    <n v="0"/>
    <n v="3"/>
    <n v="11"/>
    <x v="1"/>
  </r>
  <r>
    <n v="8933"/>
    <n v="1983"/>
    <x v="4"/>
    <s v="Married"/>
    <n v="32146"/>
    <n v="1"/>
    <n v="0"/>
    <d v="2014-05-12T00:00:00"/>
    <n v="16"/>
    <n v="26"/>
    <n v="3"/>
    <n v="23"/>
    <n v="4"/>
    <n v="7"/>
    <n v="3"/>
    <n v="2"/>
    <n v="2"/>
    <n v="0"/>
    <n v="4"/>
    <n v="6"/>
    <x v="0"/>
    <x v="0"/>
    <x v="0"/>
    <x v="0"/>
    <x v="0"/>
    <n v="0"/>
    <n v="3"/>
    <n v="11"/>
    <x v="1"/>
  </r>
  <r>
    <n v="8726"/>
    <n v="1964"/>
    <x v="4"/>
    <s v="Divorced"/>
    <n v="41713"/>
    <n v="1"/>
    <n v="1"/>
    <d v="2014-04-29T00:00:00"/>
    <n v="57"/>
    <n v="77"/>
    <n v="8"/>
    <n v="44"/>
    <n v="10"/>
    <n v="10"/>
    <n v="25"/>
    <n v="5"/>
    <n v="3"/>
    <n v="1"/>
    <n v="4"/>
    <n v="6"/>
    <x v="0"/>
    <x v="0"/>
    <x v="0"/>
    <x v="0"/>
    <x v="0"/>
    <n v="0"/>
    <n v="3"/>
    <n v="11"/>
    <x v="1"/>
  </r>
  <r>
    <n v="1515"/>
    <n v="1975"/>
    <x v="2"/>
    <s v="Together"/>
    <n v="34176"/>
    <n v="0"/>
    <n v="1"/>
    <d v="2014-01-22T00:00:00"/>
    <n v="9"/>
    <n v="11"/>
    <n v="2"/>
    <n v="7"/>
    <n v="4"/>
    <n v="2"/>
    <n v="2"/>
    <n v="1"/>
    <n v="1"/>
    <n v="0"/>
    <n v="3"/>
    <n v="3"/>
    <x v="0"/>
    <x v="0"/>
    <x v="0"/>
    <x v="0"/>
    <x v="0"/>
    <n v="0"/>
    <n v="3"/>
    <n v="11"/>
    <x v="1"/>
  </r>
  <r>
    <n v="5186"/>
    <n v="1955"/>
    <x v="1"/>
    <s v="Married"/>
    <n v="58482"/>
    <n v="0"/>
    <n v="1"/>
    <d v="2014-03-12T00:00:00"/>
    <n v="59"/>
    <n v="576"/>
    <n v="7"/>
    <n v="115"/>
    <n v="19"/>
    <n v="7"/>
    <n v="7"/>
    <n v="2"/>
    <n v="7"/>
    <n v="4"/>
    <n v="9"/>
    <n v="6"/>
    <x v="0"/>
    <x v="1"/>
    <x v="0"/>
    <x v="0"/>
    <x v="0"/>
    <n v="0"/>
    <n v="3"/>
    <n v="11"/>
    <x v="1"/>
  </r>
  <r>
    <n v="10157"/>
    <n v="1965"/>
    <x v="0"/>
    <s v="Single"/>
    <n v="59686"/>
    <n v="0"/>
    <n v="1"/>
    <d v="2014-01-25T00:00:00"/>
    <n v="78"/>
    <n v="89"/>
    <n v="15"/>
    <n v="89"/>
    <n v="34"/>
    <n v="42"/>
    <n v="5"/>
    <n v="1"/>
    <n v="4"/>
    <n v="1"/>
    <n v="6"/>
    <n v="4"/>
    <x v="0"/>
    <x v="0"/>
    <x v="0"/>
    <x v="0"/>
    <x v="0"/>
    <n v="0"/>
    <n v="3"/>
    <n v="11"/>
    <x v="1"/>
  </r>
  <r>
    <n v="5667"/>
    <n v="1964"/>
    <x v="1"/>
    <s v="Married"/>
    <n v="60896"/>
    <n v="0"/>
    <n v="1"/>
    <d v="2012-10-11T00:00:00"/>
    <n v="90"/>
    <n v="1013"/>
    <n v="30"/>
    <n v="399"/>
    <n v="60"/>
    <n v="46"/>
    <n v="153"/>
    <n v="3"/>
    <n v="9"/>
    <n v="10"/>
    <n v="4"/>
    <n v="6"/>
    <x v="0"/>
    <x v="0"/>
    <x v="0"/>
    <x v="0"/>
    <x v="0"/>
    <n v="0"/>
    <n v="3"/>
    <n v="11"/>
    <x v="0"/>
  </r>
  <r>
    <n v="902"/>
    <n v="1980"/>
    <x v="0"/>
    <s v="Together"/>
    <n v="62994"/>
    <n v="1"/>
    <n v="0"/>
    <d v="2014-03-04T00:00:00"/>
    <n v="74"/>
    <n v="224"/>
    <n v="12"/>
    <n v="48"/>
    <n v="4"/>
    <n v="12"/>
    <n v="12"/>
    <n v="1"/>
    <n v="6"/>
    <n v="2"/>
    <n v="4"/>
    <n v="6"/>
    <x v="0"/>
    <x v="0"/>
    <x v="0"/>
    <x v="0"/>
    <x v="0"/>
    <n v="0"/>
    <n v="3"/>
    <n v="11"/>
    <x v="1"/>
  </r>
  <r>
    <n v="977"/>
    <n v="1957"/>
    <x v="0"/>
    <s v="Together"/>
    <n v="47320"/>
    <n v="0"/>
    <n v="1"/>
    <d v="2013-08-01T00:00:00"/>
    <n v="10"/>
    <n v="200"/>
    <n v="19"/>
    <n v="111"/>
    <n v="50"/>
    <n v="15"/>
    <n v="19"/>
    <n v="6"/>
    <n v="5"/>
    <n v="1"/>
    <n v="8"/>
    <n v="6"/>
    <x v="0"/>
    <x v="0"/>
    <x v="0"/>
    <x v="0"/>
    <x v="0"/>
    <n v="0"/>
    <n v="3"/>
    <n v="11"/>
    <x v="1"/>
  </r>
  <r>
    <n v="7313"/>
    <n v="1949"/>
    <x v="4"/>
    <s v="Widow"/>
    <n v="74859"/>
    <n v="0"/>
    <n v="0"/>
    <d v="2013-06-03T00:00:00"/>
    <n v="63"/>
    <n v="570"/>
    <n v="73"/>
    <n v="614"/>
    <n v="133"/>
    <n v="102"/>
    <n v="73"/>
    <n v="1"/>
    <n v="6"/>
    <n v="5"/>
    <n v="11"/>
    <n v="3"/>
    <x v="0"/>
    <x v="0"/>
    <x v="0"/>
    <x v="1"/>
    <x v="0"/>
    <n v="0"/>
    <n v="3"/>
    <n v="11"/>
    <x v="1"/>
  </r>
  <r>
    <n v="7600"/>
    <n v="1992"/>
    <x v="3"/>
    <s v="Single"/>
    <n v="15253"/>
    <n v="1"/>
    <n v="0"/>
    <d v="2013-10-28T00:00:00"/>
    <n v="13"/>
    <n v="1"/>
    <n v="3"/>
    <n v="3"/>
    <n v="8"/>
    <n v="1"/>
    <n v="13"/>
    <n v="2"/>
    <n v="1"/>
    <n v="0"/>
    <n v="3"/>
    <n v="7"/>
    <x v="0"/>
    <x v="0"/>
    <x v="0"/>
    <x v="0"/>
    <x v="0"/>
    <n v="0"/>
    <n v="3"/>
    <n v="11"/>
    <x v="1"/>
  </r>
  <r>
    <n v="9706"/>
    <n v="1974"/>
    <x v="1"/>
    <s v="Single"/>
    <n v="31560"/>
    <n v="1"/>
    <n v="0"/>
    <d v="2013-06-24T00:00:00"/>
    <n v="98"/>
    <n v="62"/>
    <n v="1"/>
    <n v="20"/>
    <n v="4"/>
    <n v="0"/>
    <n v="7"/>
    <n v="2"/>
    <n v="2"/>
    <n v="1"/>
    <n v="3"/>
    <n v="8"/>
    <x v="0"/>
    <x v="0"/>
    <x v="0"/>
    <x v="0"/>
    <x v="0"/>
    <n v="0"/>
    <n v="3"/>
    <n v="11"/>
    <x v="1"/>
  </r>
  <r>
    <n v="2429"/>
    <n v="1954"/>
    <x v="0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x v="0"/>
    <x v="0"/>
    <x v="0"/>
    <x v="0"/>
    <x v="0"/>
    <n v="0"/>
    <n v="3"/>
    <n v="11"/>
    <x v="1"/>
  </r>
  <r>
    <n v="3520"/>
    <n v="1990"/>
    <x v="2"/>
    <s v="Single"/>
    <n v="91172"/>
    <n v="0"/>
    <n v="0"/>
    <d v="2013-03-27T00:00:00"/>
    <n v="94"/>
    <n v="162"/>
    <n v="28"/>
    <n v="818"/>
    <n v="0"/>
    <n v="28"/>
    <n v="56"/>
    <n v="0"/>
    <n v="4"/>
    <n v="3"/>
    <n v="7"/>
    <n v="3"/>
    <x v="1"/>
    <x v="0"/>
    <x v="1"/>
    <x v="1"/>
    <x v="1"/>
    <n v="0"/>
    <n v="3"/>
    <n v="11"/>
    <x v="0"/>
  </r>
  <r>
    <n v="10394"/>
    <n v="1984"/>
    <x v="0"/>
    <s v="Married"/>
    <n v="90000"/>
    <n v="0"/>
    <n v="0"/>
    <d v="2013-12-23T00:00:00"/>
    <n v="91"/>
    <n v="675"/>
    <n v="144"/>
    <n v="133"/>
    <n v="94"/>
    <n v="192"/>
    <n v="241"/>
    <n v="1"/>
    <n v="4"/>
    <n v="8"/>
    <n v="5"/>
    <n v="1"/>
    <x v="1"/>
    <x v="0"/>
    <x v="1"/>
    <x v="1"/>
    <x v="0"/>
    <n v="0"/>
    <n v="3"/>
    <n v="11"/>
    <x v="1"/>
  </r>
  <r>
    <n v="4548"/>
    <n v="1981"/>
    <x v="0"/>
    <s v="Single"/>
    <n v="41967"/>
    <n v="1"/>
    <n v="1"/>
    <d v="2013-11-23T00:00:00"/>
    <n v="66"/>
    <n v="23"/>
    <n v="4"/>
    <n v="10"/>
    <n v="0"/>
    <n v="2"/>
    <n v="15"/>
    <n v="1"/>
    <n v="1"/>
    <n v="0"/>
    <n v="3"/>
    <n v="4"/>
    <x v="0"/>
    <x v="0"/>
    <x v="0"/>
    <x v="0"/>
    <x v="0"/>
    <n v="0"/>
    <n v="3"/>
    <n v="11"/>
    <x v="1"/>
  </r>
  <r>
    <n v="9362"/>
    <n v="1965"/>
    <x v="0"/>
    <s v="Single"/>
    <n v="69263"/>
    <n v="0"/>
    <n v="1"/>
    <d v="2014-03-05T00:00:00"/>
    <n v="14"/>
    <n v="492"/>
    <n v="5"/>
    <n v="32"/>
    <n v="13"/>
    <n v="5"/>
    <n v="21"/>
    <n v="1"/>
    <n v="9"/>
    <n v="1"/>
    <n v="7"/>
    <n v="6"/>
    <x v="0"/>
    <x v="1"/>
    <x v="0"/>
    <x v="0"/>
    <x v="0"/>
    <n v="0"/>
    <n v="3"/>
    <n v="11"/>
    <x v="1"/>
  </r>
  <r>
    <n v="3968"/>
    <n v="1970"/>
    <x v="4"/>
    <s v="Divorced"/>
    <n v="65706"/>
    <n v="0"/>
    <n v="0"/>
    <d v="2013-06-28T00:00:00"/>
    <n v="77"/>
    <n v="918"/>
    <n v="10"/>
    <n v="129"/>
    <n v="13"/>
    <n v="0"/>
    <n v="129"/>
    <n v="1"/>
    <n v="11"/>
    <n v="3"/>
    <n v="12"/>
    <n v="7"/>
    <x v="0"/>
    <x v="1"/>
    <x v="1"/>
    <x v="0"/>
    <x v="1"/>
    <n v="0"/>
    <n v="3"/>
    <n v="11"/>
    <x v="0"/>
  </r>
  <r>
    <n v="4084"/>
    <n v="1975"/>
    <x v="0"/>
    <s v="Together"/>
    <n v="60934"/>
    <n v="0"/>
    <n v="1"/>
    <d v="2014-01-17T00:00:00"/>
    <n v="41"/>
    <n v="224"/>
    <n v="155"/>
    <n v="155"/>
    <n v="192"/>
    <n v="93"/>
    <n v="54"/>
    <n v="2"/>
    <n v="6"/>
    <n v="4"/>
    <n v="11"/>
    <n v="4"/>
    <x v="0"/>
    <x v="0"/>
    <x v="0"/>
    <x v="0"/>
    <x v="0"/>
    <n v="0"/>
    <n v="3"/>
    <n v="11"/>
    <x v="1"/>
  </r>
  <r>
    <n v="6721"/>
    <n v="1951"/>
    <x v="0"/>
    <s v="Married"/>
    <n v="71965"/>
    <n v="0"/>
    <n v="1"/>
    <d v="2013-07-29T00:00:00"/>
    <n v="21"/>
    <n v="572"/>
    <n v="19"/>
    <n v="286"/>
    <n v="50"/>
    <n v="38"/>
    <n v="248"/>
    <n v="3"/>
    <n v="6"/>
    <n v="3"/>
    <n v="5"/>
    <n v="3"/>
    <x v="0"/>
    <x v="0"/>
    <x v="0"/>
    <x v="0"/>
    <x v="0"/>
    <n v="0"/>
    <n v="3"/>
    <n v="11"/>
    <x v="1"/>
  </r>
  <r>
    <n v="2829"/>
    <n v="1955"/>
    <x v="0"/>
    <s v="Married"/>
    <n v="65210"/>
    <n v="0"/>
    <n v="1"/>
    <d v="2014-03-10T00:00:00"/>
    <n v="25"/>
    <n v="626"/>
    <n v="0"/>
    <n v="70"/>
    <n v="0"/>
    <n v="7"/>
    <n v="28"/>
    <n v="2"/>
    <n v="9"/>
    <n v="3"/>
    <n v="8"/>
    <n v="6"/>
    <x v="0"/>
    <x v="1"/>
    <x v="0"/>
    <x v="1"/>
    <x v="0"/>
    <n v="0"/>
    <n v="3"/>
    <n v="11"/>
    <x v="1"/>
  </r>
  <r>
    <n v="1772"/>
    <n v="1975"/>
    <x v="1"/>
    <s v="Married"/>
    <n v="79174"/>
    <n v="0"/>
    <n v="0"/>
    <d v="2013-01-11T00:00:00"/>
    <n v="2"/>
    <n v="1074"/>
    <n v="37"/>
    <n v="518"/>
    <n v="193"/>
    <n v="92"/>
    <n v="129"/>
    <n v="1"/>
    <n v="5"/>
    <n v="6"/>
    <n v="7"/>
    <n v="2"/>
    <x v="0"/>
    <x v="0"/>
    <x v="1"/>
    <x v="1"/>
    <x v="0"/>
    <n v="0"/>
    <n v="3"/>
    <n v="11"/>
    <x v="0"/>
  </r>
  <r>
    <n v="1544"/>
    <n v="1967"/>
    <x v="2"/>
    <s v="Divorced"/>
    <n v="81380"/>
    <n v="0"/>
    <n v="0"/>
    <d v="2012-12-22T00:00:00"/>
    <n v="51"/>
    <n v="741"/>
    <n v="68"/>
    <n v="689"/>
    <n v="224"/>
    <n v="68"/>
    <n v="103"/>
    <n v="1"/>
    <n v="4"/>
    <n v="2"/>
    <n v="10"/>
    <n v="2"/>
    <x v="0"/>
    <x v="0"/>
    <x v="0"/>
    <x v="0"/>
    <x v="0"/>
    <n v="0"/>
    <n v="3"/>
    <n v="11"/>
    <x v="1"/>
  </r>
  <r>
    <n v="492"/>
    <n v="1973"/>
    <x v="1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x v="0"/>
    <x v="0"/>
    <x v="0"/>
    <x v="0"/>
    <x v="0"/>
    <n v="0"/>
    <n v="3"/>
    <n v="11"/>
    <x v="1"/>
  </r>
  <r>
    <n v="4377"/>
    <n v="1971"/>
    <x v="0"/>
    <s v="Married"/>
    <n v="52914"/>
    <n v="0"/>
    <n v="1"/>
    <d v="2013-01-07T00:00:00"/>
    <n v="32"/>
    <n v="254"/>
    <n v="10"/>
    <n v="44"/>
    <n v="30"/>
    <n v="10"/>
    <n v="227"/>
    <n v="2"/>
    <n v="7"/>
    <n v="3"/>
    <n v="3"/>
    <n v="7"/>
    <x v="1"/>
    <x v="0"/>
    <x v="0"/>
    <x v="0"/>
    <x v="0"/>
    <n v="0"/>
    <n v="3"/>
    <n v="11"/>
    <x v="1"/>
  </r>
  <r>
    <n v="4541"/>
    <n v="1955"/>
    <x v="0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x v="0"/>
    <x v="0"/>
    <x v="0"/>
    <x v="0"/>
    <x v="0"/>
    <n v="0"/>
    <n v="3"/>
    <n v="11"/>
    <x v="1"/>
  </r>
  <r>
    <n v="1321"/>
    <n v="1974"/>
    <x v="0"/>
    <s v="Married"/>
    <n v="26067"/>
    <n v="1"/>
    <n v="0"/>
    <d v="2013-11-04T00:00:00"/>
    <n v="49"/>
    <n v="22"/>
    <n v="2"/>
    <n v="18"/>
    <n v="0"/>
    <n v="2"/>
    <n v="12"/>
    <n v="3"/>
    <n v="3"/>
    <n v="0"/>
    <n v="3"/>
    <n v="8"/>
    <x v="0"/>
    <x v="0"/>
    <x v="0"/>
    <x v="0"/>
    <x v="0"/>
    <n v="0"/>
    <n v="3"/>
    <n v="11"/>
    <x v="1"/>
  </r>
  <r>
    <n v="8858"/>
    <n v="1972"/>
    <x v="1"/>
    <s v="Married"/>
    <n v="44325"/>
    <n v="0"/>
    <n v="1"/>
    <d v="2013-03-07T00:00:00"/>
    <n v="69"/>
    <n v="516"/>
    <n v="0"/>
    <n v="21"/>
    <n v="0"/>
    <n v="0"/>
    <n v="5"/>
    <n v="4"/>
    <n v="8"/>
    <n v="2"/>
    <n v="7"/>
    <n v="8"/>
    <x v="0"/>
    <x v="1"/>
    <x v="0"/>
    <x v="0"/>
    <x v="0"/>
    <n v="0"/>
    <n v="3"/>
    <n v="11"/>
    <x v="1"/>
  </r>
  <r>
    <n v="3266"/>
    <n v="1964"/>
    <x v="0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x v="0"/>
    <x v="0"/>
    <x v="0"/>
    <x v="0"/>
    <x v="0"/>
    <n v="0"/>
    <n v="3"/>
    <n v="11"/>
    <x v="1"/>
  </r>
  <r>
    <n v="11187"/>
    <n v="1978"/>
    <x v="3"/>
    <s v="Single"/>
    <n v="26487"/>
    <n v="1"/>
    <n v="0"/>
    <d v="2013-05-20T00:00:00"/>
    <n v="23"/>
    <n v="2"/>
    <n v="8"/>
    <n v="10"/>
    <n v="12"/>
    <n v="14"/>
    <n v="23"/>
    <n v="3"/>
    <n v="2"/>
    <n v="1"/>
    <n v="3"/>
    <n v="5"/>
    <x v="0"/>
    <x v="0"/>
    <x v="0"/>
    <x v="0"/>
    <x v="0"/>
    <n v="0"/>
    <n v="3"/>
    <n v="11"/>
    <x v="1"/>
  </r>
  <r>
    <n v="8207"/>
    <n v="1957"/>
    <x v="4"/>
    <s v="Married"/>
    <n v="53233"/>
    <n v="0"/>
    <n v="1"/>
    <d v="2014-03-18T00:00:00"/>
    <n v="18"/>
    <n v="28"/>
    <n v="0"/>
    <n v="9"/>
    <n v="3"/>
    <n v="0"/>
    <n v="0"/>
    <n v="1"/>
    <n v="1"/>
    <n v="0"/>
    <n v="3"/>
    <n v="4"/>
    <x v="0"/>
    <x v="0"/>
    <x v="0"/>
    <x v="0"/>
    <x v="0"/>
    <n v="0"/>
    <n v="3"/>
    <n v="11"/>
    <x v="1"/>
  </r>
  <r>
    <n v="9723"/>
    <n v="1960"/>
    <x v="0"/>
    <s v="Married"/>
    <n v="67716"/>
    <n v="0"/>
    <n v="1"/>
    <d v="2013-01-10T00:00:00"/>
    <n v="8"/>
    <n v="530"/>
    <n v="142"/>
    <n v="217"/>
    <n v="62"/>
    <n v="9"/>
    <n v="56"/>
    <n v="4"/>
    <n v="7"/>
    <n v="4"/>
    <n v="13"/>
    <n v="5"/>
    <x v="0"/>
    <x v="1"/>
    <x v="0"/>
    <x v="0"/>
    <x v="0"/>
    <n v="0"/>
    <n v="3"/>
    <n v="11"/>
    <x v="1"/>
  </r>
  <r>
    <n v="2666"/>
    <n v="1972"/>
    <x v="2"/>
    <s v="Married"/>
    <n v="76234"/>
    <n v="0"/>
    <n v="1"/>
    <d v="2014-02-06T00:00:00"/>
    <n v="21"/>
    <n v="519"/>
    <n v="50"/>
    <n v="167"/>
    <n v="130"/>
    <n v="0"/>
    <n v="41"/>
    <n v="1"/>
    <n v="8"/>
    <n v="3"/>
    <n v="11"/>
    <n v="3"/>
    <x v="0"/>
    <x v="1"/>
    <x v="0"/>
    <x v="0"/>
    <x v="0"/>
    <n v="0"/>
    <n v="3"/>
    <n v="11"/>
    <x v="1"/>
  </r>
  <r>
    <n v="5721"/>
    <n v="1956"/>
    <x v="1"/>
    <s v="Married"/>
    <n v="84117"/>
    <n v="0"/>
    <n v="0"/>
    <d v="2014-05-11T00:00:00"/>
    <n v="60"/>
    <n v="611"/>
    <n v="76"/>
    <n v="749"/>
    <n v="59"/>
    <n v="45"/>
    <n v="26"/>
    <n v="1"/>
    <n v="7"/>
    <n v="10"/>
    <n v="6"/>
    <n v="2"/>
    <x v="0"/>
    <x v="0"/>
    <x v="1"/>
    <x v="0"/>
    <x v="0"/>
    <n v="0"/>
    <n v="3"/>
    <n v="11"/>
    <x v="1"/>
  </r>
  <r>
    <n v="10652"/>
    <n v="1957"/>
    <x v="2"/>
    <s v="Together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x v="0"/>
    <x v="0"/>
    <x v="0"/>
    <x v="0"/>
    <x v="0"/>
    <n v="0"/>
    <n v="3"/>
    <n v="11"/>
    <x v="1"/>
  </r>
  <r>
    <n v="1646"/>
    <n v="1972"/>
    <x v="3"/>
    <s v="Married"/>
    <n v="25224"/>
    <n v="1"/>
    <n v="0"/>
    <d v="2014-03-16T00:00:00"/>
    <n v="36"/>
    <n v="4"/>
    <n v="9"/>
    <n v="12"/>
    <n v="11"/>
    <n v="2"/>
    <n v="8"/>
    <n v="2"/>
    <n v="1"/>
    <n v="1"/>
    <n v="3"/>
    <n v="3"/>
    <x v="0"/>
    <x v="0"/>
    <x v="0"/>
    <x v="0"/>
    <x v="0"/>
    <n v="0"/>
    <n v="3"/>
    <n v="11"/>
    <x v="1"/>
  </r>
  <r>
    <n v="4418"/>
    <n v="1983"/>
    <x v="2"/>
    <s v="Single"/>
    <n v="89616"/>
    <n v="0"/>
    <n v="0"/>
    <d v="2013-02-25T00:00:00"/>
    <n v="36"/>
    <n v="671"/>
    <n v="47"/>
    <n v="655"/>
    <n v="145"/>
    <n v="111"/>
    <n v="15"/>
    <n v="1"/>
    <n v="7"/>
    <n v="5"/>
    <n v="12"/>
    <n v="2"/>
    <x v="0"/>
    <x v="0"/>
    <x v="0"/>
    <x v="0"/>
    <x v="0"/>
    <n v="0"/>
    <n v="3"/>
    <n v="11"/>
    <x v="0"/>
  </r>
  <r>
    <n v="2656"/>
    <n v="1971"/>
    <x v="0"/>
    <s v="Divorced"/>
    <n v="40851"/>
    <n v="1"/>
    <n v="1"/>
    <d v="2013-02-21T00:00:00"/>
    <n v="63"/>
    <n v="23"/>
    <n v="1"/>
    <n v="7"/>
    <n v="0"/>
    <n v="4"/>
    <n v="24"/>
    <n v="1"/>
    <n v="1"/>
    <n v="1"/>
    <n v="2"/>
    <n v="7"/>
    <x v="0"/>
    <x v="0"/>
    <x v="0"/>
    <x v="0"/>
    <x v="0"/>
    <n v="0"/>
    <n v="3"/>
    <n v="11"/>
    <x v="1"/>
  </r>
  <r>
    <n v="7990"/>
    <n v="1947"/>
    <x v="0"/>
    <s v="Married"/>
    <n v="27469"/>
    <n v="0"/>
    <n v="0"/>
    <d v="2012-08-02T00:00:00"/>
    <n v="2"/>
    <n v="9"/>
    <n v="1"/>
    <n v="2"/>
    <n v="3"/>
    <n v="2"/>
    <n v="0"/>
    <n v="1"/>
    <n v="0"/>
    <n v="0"/>
    <n v="3"/>
    <n v="6"/>
    <x v="0"/>
    <x v="0"/>
    <x v="0"/>
    <x v="0"/>
    <x v="0"/>
    <n v="0"/>
    <n v="3"/>
    <n v="11"/>
    <x v="1"/>
  </r>
  <r>
    <n v="8722"/>
    <n v="1957"/>
    <x v="4"/>
    <s v="Married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x v="1"/>
    <x v="0"/>
    <x v="0"/>
    <x v="1"/>
    <x v="0"/>
    <n v="0"/>
    <n v="3"/>
    <n v="11"/>
    <x v="0"/>
  </r>
  <r>
    <n v="7118"/>
    <n v="1957"/>
    <x v="0"/>
    <s v="Married"/>
    <n v="73803"/>
    <n v="0"/>
    <n v="1"/>
    <d v="2012-08-01T00:00:00"/>
    <n v="61"/>
    <n v="833"/>
    <n v="80"/>
    <n v="363"/>
    <n v="52"/>
    <n v="26"/>
    <n v="174"/>
    <n v="2"/>
    <n v="9"/>
    <n v="5"/>
    <n v="6"/>
    <n v="6"/>
    <x v="1"/>
    <x v="0"/>
    <x v="0"/>
    <x v="0"/>
    <x v="0"/>
    <n v="0"/>
    <n v="3"/>
    <n v="11"/>
    <x v="0"/>
  </r>
  <r>
    <n v="2980"/>
    <n v="1952"/>
    <x v="2"/>
    <s v="Single"/>
    <n v="8820"/>
    <n v="1"/>
    <n v="1"/>
    <d v="2013-03-22T00:00:00"/>
    <n v="52"/>
    <n v="12"/>
    <n v="0"/>
    <n v="13"/>
    <n v="4"/>
    <n v="2"/>
    <n v="4"/>
    <n v="4"/>
    <n v="3"/>
    <n v="0"/>
    <n v="3"/>
    <n v="8"/>
    <x v="0"/>
    <x v="0"/>
    <x v="0"/>
    <x v="0"/>
    <x v="0"/>
    <n v="0"/>
    <n v="3"/>
    <n v="11"/>
    <x v="1"/>
  </r>
  <r>
    <n v="1839"/>
    <n v="1974"/>
    <x v="0"/>
    <s v="Single"/>
    <n v="43322"/>
    <n v="0"/>
    <n v="0"/>
    <d v="2014-04-21T00:00:00"/>
    <n v="25"/>
    <n v="56"/>
    <n v="7"/>
    <n v="48"/>
    <n v="10"/>
    <n v="2"/>
    <n v="18"/>
    <n v="1"/>
    <n v="3"/>
    <n v="0"/>
    <n v="4"/>
    <n v="7"/>
    <x v="0"/>
    <x v="0"/>
    <x v="0"/>
    <x v="0"/>
    <x v="0"/>
    <n v="0"/>
    <n v="3"/>
    <n v="11"/>
    <x v="1"/>
  </r>
  <r>
    <n v="10722"/>
    <n v="1973"/>
    <x v="0"/>
    <s v="Together"/>
    <n v="55593"/>
    <n v="0"/>
    <n v="1"/>
    <d v="2013-08-21T00:00:00"/>
    <n v="63"/>
    <n v="293"/>
    <n v="8"/>
    <n v="124"/>
    <n v="11"/>
    <n v="4"/>
    <n v="106"/>
    <n v="2"/>
    <n v="6"/>
    <n v="6"/>
    <n v="3"/>
    <n v="6"/>
    <x v="1"/>
    <x v="0"/>
    <x v="0"/>
    <x v="0"/>
    <x v="0"/>
    <n v="0"/>
    <n v="3"/>
    <n v="11"/>
    <x v="1"/>
  </r>
  <r>
    <n v="2632"/>
    <n v="1954"/>
    <x v="0"/>
    <s v="Married"/>
    <n v="50501"/>
    <n v="1"/>
    <n v="1"/>
    <d v="2013-06-18T00:00:00"/>
    <n v="10"/>
    <n v="297"/>
    <n v="0"/>
    <n v="38"/>
    <n v="13"/>
    <n v="0"/>
    <n v="152"/>
    <n v="7"/>
    <n v="5"/>
    <n v="4"/>
    <n v="4"/>
    <n v="6"/>
    <x v="1"/>
    <x v="0"/>
    <x v="0"/>
    <x v="0"/>
    <x v="0"/>
    <n v="0"/>
    <n v="3"/>
    <n v="11"/>
    <x v="0"/>
  </r>
  <r>
    <n v="9014"/>
    <n v="1975"/>
    <x v="0"/>
    <s v="Married"/>
    <n v="37085"/>
    <n v="1"/>
    <n v="1"/>
    <d v="2014-06-26T00:00:00"/>
    <n v="65"/>
    <n v="39"/>
    <n v="1"/>
    <n v="16"/>
    <n v="2"/>
    <n v="0"/>
    <n v="3"/>
    <n v="4"/>
    <n v="3"/>
    <n v="0"/>
    <n v="3"/>
    <n v="8"/>
    <x v="0"/>
    <x v="0"/>
    <x v="0"/>
    <x v="0"/>
    <x v="0"/>
    <n v="0"/>
    <n v="3"/>
    <n v="11"/>
    <x v="1"/>
  </r>
  <r>
    <n v="7620"/>
    <n v="1990"/>
    <x v="3"/>
    <s v="Single"/>
    <n v="16185"/>
    <n v="1"/>
    <n v="0"/>
    <d v="2013-08-05T00:00:00"/>
    <n v="71"/>
    <n v="5"/>
    <n v="11"/>
    <n v="16"/>
    <n v="21"/>
    <n v="8"/>
    <n v="45"/>
    <n v="2"/>
    <n v="2"/>
    <n v="2"/>
    <n v="2"/>
    <n v="8"/>
    <x v="0"/>
    <x v="0"/>
    <x v="0"/>
    <x v="0"/>
    <x v="0"/>
    <n v="0"/>
    <n v="3"/>
    <n v="11"/>
    <x v="1"/>
  </r>
  <r>
    <n v="10968"/>
    <n v="1969"/>
    <x v="0"/>
    <s v="Single"/>
    <n v="57731"/>
    <n v="0"/>
    <n v="1"/>
    <d v="2012-11-23T00:00:00"/>
    <n v="0"/>
    <n v="266"/>
    <n v="21"/>
    <n v="300"/>
    <n v="65"/>
    <n v="8"/>
    <n v="44"/>
    <n v="4"/>
    <n v="8"/>
    <n v="8"/>
    <n v="6"/>
    <n v="6"/>
    <x v="0"/>
    <x v="0"/>
    <x v="0"/>
    <x v="0"/>
    <x v="0"/>
    <n v="0"/>
    <n v="3"/>
    <n v="11"/>
    <x v="1"/>
  </r>
  <r>
    <n v="11133"/>
    <n v="1973"/>
    <x v="1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x v="0"/>
    <x v="0"/>
    <x v="0"/>
    <x v="0"/>
    <x v="0"/>
    <n v="0"/>
    <n v="3"/>
    <n v="11"/>
    <x v="0"/>
  </r>
  <r>
    <n v="2736"/>
    <n v="1978"/>
    <x v="0"/>
    <s v="Married"/>
    <n v="73807"/>
    <n v="0"/>
    <n v="1"/>
    <d v="2013-01-02T00:00:00"/>
    <n v="88"/>
    <n v="366"/>
    <n v="124"/>
    <n v="156"/>
    <n v="71"/>
    <n v="78"/>
    <n v="54"/>
    <n v="2"/>
    <n v="5"/>
    <n v="5"/>
    <n v="11"/>
    <n v="2"/>
    <x v="0"/>
    <x v="0"/>
    <x v="0"/>
    <x v="0"/>
    <x v="0"/>
    <n v="0"/>
    <n v="3"/>
    <n v="11"/>
    <x v="1"/>
  </r>
  <r>
    <n v="1876"/>
    <n v="1990"/>
    <x v="0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x v="0"/>
    <x v="0"/>
    <x v="0"/>
    <x v="0"/>
    <x v="0"/>
    <n v="0"/>
    <n v="3"/>
    <n v="11"/>
    <x v="1"/>
  </r>
  <r>
    <n v="5959"/>
    <n v="1968"/>
    <x v="0"/>
    <s v="Single"/>
    <n v="35893"/>
    <n v="1"/>
    <n v="1"/>
    <d v="2012-10-15T00:00:00"/>
    <n v="80"/>
    <n v="158"/>
    <n v="0"/>
    <n v="23"/>
    <n v="0"/>
    <n v="0"/>
    <n v="18"/>
    <n v="6"/>
    <n v="3"/>
    <n v="1"/>
    <n v="5"/>
    <n v="8"/>
    <x v="0"/>
    <x v="0"/>
    <x v="0"/>
    <x v="0"/>
    <x v="0"/>
    <n v="0"/>
    <n v="3"/>
    <n v="11"/>
    <x v="1"/>
  </r>
  <r>
    <n v="1092"/>
    <n v="1980"/>
    <x v="0"/>
    <s v="Married"/>
    <n v="61014"/>
    <n v="0"/>
    <n v="1"/>
    <d v="2012-08-11T00:00:00"/>
    <n v="17"/>
    <n v="269"/>
    <n v="129"/>
    <n v="495"/>
    <n v="182"/>
    <n v="43"/>
    <n v="29"/>
    <n v="4"/>
    <n v="9"/>
    <n v="3"/>
    <n v="4"/>
    <n v="7"/>
    <x v="0"/>
    <x v="0"/>
    <x v="0"/>
    <x v="0"/>
    <x v="0"/>
    <n v="0"/>
    <n v="3"/>
    <n v="11"/>
    <x v="1"/>
  </r>
  <r>
    <n v="4333"/>
    <n v="1954"/>
    <x v="0"/>
    <s v="Together"/>
    <n v="32144"/>
    <n v="1"/>
    <n v="1"/>
    <d v="2014-03-23T00:00:00"/>
    <n v="76"/>
    <n v="41"/>
    <n v="0"/>
    <n v="10"/>
    <n v="0"/>
    <n v="0"/>
    <n v="3"/>
    <n v="4"/>
    <n v="2"/>
    <n v="1"/>
    <n v="3"/>
    <n v="7"/>
    <x v="0"/>
    <x v="1"/>
    <x v="0"/>
    <x v="0"/>
    <x v="0"/>
    <n v="0"/>
    <n v="3"/>
    <n v="11"/>
    <x v="1"/>
  </r>
  <r>
    <n v="3850"/>
    <n v="1963"/>
    <x v="3"/>
    <s v="Together"/>
    <n v="14918"/>
    <n v="0"/>
    <n v="1"/>
    <d v="2012-12-07T00:00:00"/>
    <n v="52"/>
    <n v="3"/>
    <n v="3"/>
    <n v="3"/>
    <n v="15"/>
    <n v="4"/>
    <n v="15"/>
    <n v="1"/>
    <n v="1"/>
    <n v="0"/>
    <n v="3"/>
    <n v="6"/>
    <x v="0"/>
    <x v="0"/>
    <x v="0"/>
    <x v="0"/>
    <x v="0"/>
    <n v="0"/>
    <n v="3"/>
    <n v="11"/>
    <x v="1"/>
  </r>
  <r>
    <n v="6168"/>
    <n v="1963"/>
    <x v="0"/>
    <s v="Divorced"/>
    <n v="45146"/>
    <n v="1"/>
    <n v="1"/>
    <d v="2013-07-15T00:00:00"/>
    <n v="28"/>
    <n v="33"/>
    <n v="0"/>
    <n v="5"/>
    <n v="0"/>
    <n v="0"/>
    <n v="15"/>
    <n v="2"/>
    <n v="1"/>
    <n v="1"/>
    <n v="2"/>
    <n v="4"/>
    <x v="0"/>
    <x v="0"/>
    <x v="0"/>
    <x v="0"/>
    <x v="0"/>
    <n v="0"/>
    <n v="3"/>
    <n v="11"/>
    <x v="1"/>
  </r>
  <r>
    <n v="607"/>
    <n v="1955"/>
    <x v="4"/>
    <s v="Divorced"/>
    <n v="41769"/>
    <n v="0"/>
    <n v="1"/>
    <d v="2013-02-13T00:00:00"/>
    <n v="31"/>
    <n v="302"/>
    <n v="29"/>
    <n v="131"/>
    <n v="32"/>
    <n v="0"/>
    <n v="27"/>
    <n v="6"/>
    <n v="8"/>
    <n v="1"/>
    <n v="7"/>
    <n v="8"/>
    <x v="0"/>
    <x v="0"/>
    <x v="0"/>
    <x v="0"/>
    <x v="0"/>
    <n v="0"/>
    <n v="3"/>
    <n v="11"/>
    <x v="1"/>
  </r>
  <r>
    <n v="10469"/>
    <n v="1981"/>
    <x v="0"/>
    <s v="Together"/>
    <n v="88325"/>
    <n v="0"/>
    <n v="0"/>
    <d v="2014-02-05T00:00:00"/>
    <n v="42"/>
    <n v="519"/>
    <n v="71"/>
    <n v="860"/>
    <n v="93"/>
    <n v="27"/>
    <n v="53"/>
    <n v="1"/>
    <n v="6"/>
    <n v="2"/>
    <n v="9"/>
    <n v="2"/>
    <x v="0"/>
    <x v="0"/>
    <x v="0"/>
    <x v="0"/>
    <x v="0"/>
    <n v="0"/>
    <n v="3"/>
    <n v="11"/>
    <x v="1"/>
  </r>
  <r>
    <n v="6983"/>
    <n v="1950"/>
    <x v="2"/>
    <s v="Divorced"/>
    <n v="38054"/>
    <n v="1"/>
    <n v="1"/>
    <d v="2014-05-01T00:00:00"/>
    <n v="24"/>
    <n v="23"/>
    <n v="2"/>
    <n v="17"/>
    <n v="2"/>
    <n v="1"/>
    <n v="0"/>
    <n v="2"/>
    <n v="2"/>
    <n v="0"/>
    <n v="3"/>
    <n v="7"/>
    <x v="0"/>
    <x v="0"/>
    <x v="0"/>
    <x v="0"/>
    <x v="0"/>
    <n v="0"/>
    <n v="3"/>
    <n v="11"/>
    <x v="1"/>
  </r>
  <r>
    <n v="3661"/>
    <n v="1995"/>
    <x v="4"/>
    <s v="Single"/>
    <n v="80617"/>
    <n v="0"/>
    <n v="0"/>
    <d v="2012-10-12T00:00:00"/>
    <n v="42"/>
    <n v="594"/>
    <n v="51"/>
    <n v="631"/>
    <n v="72"/>
    <n v="55"/>
    <n v="32"/>
    <n v="1"/>
    <n v="4"/>
    <n v="6"/>
    <n v="8"/>
    <n v="2"/>
    <x v="0"/>
    <x v="0"/>
    <x v="0"/>
    <x v="0"/>
    <x v="0"/>
    <n v="0"/>
    <n v="3"/>
    <n v="11"/>
    <x v="1"/>
  </r>
  <r>
    <n v="9303"/>
    <n v="1976"/>
    <x v="0"/>
    <s v="Married"/>
    <n v="5305"/>
    <n v="0"/>
    <n v="1"/>
    <d v="2013-07-30T00:00:00"/>
    <n v="12"/>
    <n v="12"/>
    <n v="4"/>
    <n v="7"/>
    <n v="1"/>
    <n v="3"/>
    <n v="5"/>
    <n v="0"/>
    <n v="1"/>
    <n v="0"/>
    <n v="0"/>
    <n v="13"/>
    <x v="0"/>
    <x v="0"/>
    <x v="0"/>
    <x v="0"/>
    <x v="0"/>
    <n v="0"/>
    <n v="3"/>
    <n v="11"/>
    <x v="1"/>
  </r>
  <r>
    <n v="692"/>
    <n v="1954"/>
    <x v="0"/>
    <s v="Together"/>
    <n v="36807"/>
    <n v="1"/>
    <n v="1"/>
    <d v="2012-12-20T00:00:00"/>
    <n v="88"/>
    <n v="4"/>
    <n v="2"/>
    <n v="5"/>
    <n v="0"/>
    <n v="0"/>
    <n v="5"/>
    <n v="1"/>
    <n v="1"/>
    <n v="0"/>
    <n v="2"/>
    <n v="6"/>
    <x v="0"/>
    <x v="0"/>
    <x v="0"/>
    <x v="0"/>
    <x v="0"/>
    <n v="0"/>
    <n v="3"/>
    <n v="11"/>
    <x v="1"/>
  </r>
  <r>
    <n v="736"/>
    <n v="1983"/>
    <x v="0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x v="0"/>
    <x v="0"/>
    <x v="0"/>
    <x v="0"/>
    <x v="0"/>
    <n v="0"/>
    <n v="3"/>
    <n v="11"/>
    <x v="1"/>
  </r>
  <r>
    <n v="9589"/>
    <n v="1948"/>
    <x v="1"/>
    <s v="Widow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x v="0"/>
    <x v="0"/>
    <x v="0"/>
    <x v="0"/>
    <x v="0"/>
    <n v="0"/>
    <n v="3"/>
    <n v="11"/>
    <x v="1"/>
  </r>
  <r>
    <n v="4838"/>
    <n v="1978"/>
    <x v="0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x v="0"/>
    <x v="0"/>
    <x v="0"/>
    <x v="0"/>
    <x v="0"/>
    <n v="0"/>
    <n v="3"/>
    <n v="11"/>
    <x v="1"/>
  </r>
  <r>
    <n v="9246"/>
    <n v="1985"/>
    <x v="2"/>
    <s v="Together"/>
    <n v="40101"/>
    <n v="1"/>
    <n v="0"/>
    <d v="2012-10-14T00:00:00"/>
    <n v="73"/>
    <n v="171"/>
    <n v="3"/>
    <n v="129"/>
    <n v="26"/>
    <n v="24"/>
    <n v="62"/>
    <n v="4"/>
    <n v="6"/>
    <n v="1"/>
    <n v="6"/>
    <n v="7"/>
    <x v="0"/>
    <x v="0"/>
    <x v="0"/>
    <x v="0"/>
    <x v="0"/>
    <n v="0"/>
    <n v="3"/>
    <n v="11"/>
    <x v="1"/>
  </r>
  <r>
    <n v="6261"/>
    <n v="1979"/>
    <x v="0"/>
    <s v="Married"/>
    <n v="58025"/>
    <n v="0"/>
    <n v="1"/>
    <d v="2013-11-26T00:00:00"/>
    <n v="81"/>
    <n v="270"/>
    <n v="31"/>
    <n v="88"/>
    <n v="11"/>
    <n v="48"/>
    <n v="22"/>
    <n v="3"/>
    <n v="3"/>
    <n v="2"/>
    <n v="10"/>
    <n v="4"/>
    <x v="0"/>
    <x v="0"/>
    <x v="0"/>
    <x v="0"/>
    <x v="0"/>
    <n v="0"/>
    <n v="3"/>
    <n v="11"/>
    <x v="1"/>
  </r>
  <r>
    <n v="7366"/>
    <n v="1982"/>
    <x v="2"/>
    <s v="Single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x v="0"/>
    <x v="1"/>
    <x v="1"/>
    <x v="0"/>
    <x v="0"/>
    <n v="0"/>
    <n v="3"/>
    <n v="11"/>
    <x v="0"/>
  </r>
  <r>
    <n v="10659"/>
    <n v="1979"/>
    <x v="4"/>
    <s v="Together"/>
    <n v="7500"/>
    <n v="1"/>
    <n v="0"/>
    <d v="2013-05-07T00:00:00"/>
    <n v="7"/>
    <n v="2"/>
    <n v="8"/>
    <n v="11"/>
    <n v="3"/>
    <n v="8"/>
    <n v="21"/>
    <n v="4"/>
    <n v="3"/>
    <n v="2"/>
    <n v="2"/>
    <n v="7"/>
    <x v="0"/>
    <x v="0"/>
    <x v="0"/>
    <x v="0"/>
    <x v="0"/>
    <n v="0"/>
    <n v="3"/>
    <n v="11"/>
    <x v="1"/>
  </r>
  <r>
    <n v="1448"/>
    <n v="1963"/>
    <x v="2"/>
    <s v="Married"/>
    <n v="33562"/>
    <n v="1"/>
    <n v="2"/>
    <d v="2014-06-25T00:00:00"/>
    <n v="33"/>
    <n v="21"/>
    <n v="12"/>
    <n v="12"/>
    <n v="0"/>
    <n v="3"/>
    <n v="3"/>
    <n v="3"/>
    <n v="2"/>
    <n v="0"/>
    <n v="4"/>
    <n v="4"/>
    <x v="0"/>
    <x v="0"/>
    <x v="0"/>
    <x v="0"/>
    <x v="0"/>
    <n v="0"/>
    <n v="3"/>
    <n v="11"/>
    <x v="1"/>
  </r>
  <r>
    <n v="4286"/>
    <n v="1970"/>
    <x v="1"/>
    <s v="Single"/>
    <n v="57642"/>
    <n v="0"/>
    <n v="1"/>
    <d v="2014-01-09T00:00:00"/>
    <n v="24"/>
    <n v="580"/>
    <n v="6"/>
    <n v="58"/>
    <n v="8"/>
    <n v="0"/>
    <n v="27"/>
    <n v="3"/>
    <n v="7"/>
    <n v="6"/>
    <n v="6"/>
    <n v="4"/>
    <x v="1"/>
    <x v="0"/>
    <x v="0"/>
    <x v="0"/>
    <x v="0"/>
    <n v="0"/>
    <n v="3"/>
    <n v="11"/>
    <x v="1"/>
  </r>
  <r>
    <n v="4749"/>
    <n v="1968"/>
    <x v="0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x v="0"/>
    <x v="0"/>
    <x v="0"/>
    <x v="0"/>
    <x v="0"/>
    <n v="0"/>
    <n v="3"/>
    <n v="11"/>
    <x v="1"/>
  </r>
  <r>
    <n v="4478"/>
    <n v="1979"/>
    <x v="0"/>
    <s v="Married"/>
    <n v="63777"/>
    <n v="1"/>
    <n v="1"/>
    <d v="2013-03-24T00:00:00"/>
    <n v="87"/>
    <n v="457"/>
    <n v="5"/>
    <n v="106"/>
    <n v="15"/>
    <n v="17"/>
    <n v="53"/>
    <n v="8"/>
    <n v="11"/>
    <n v="1"/>
    <n v="6"/>
    <n v="8"/>
    <x v="0"/>
    <x v="0"/>
    <x v="0"/>
    <x v="0"/>
    <x v="0"/>
    <n v="0"/>
    <n v="3"/>
    <n v="11"/>
    <x v="1"/>
  </r>
  <r>
    <n v="4201"/>
    <n v="1962"/>
    <x v="0"/>
    <s v="Single"/>
    <n v="57967"/>
    <n v="0"/>
    <n v="1"/>
    <d v="2013-03-03T00:00:00"/>
    <n v="39"/>
    <n v="229"/>
    <n v="7"/>
    <n v="137"/>
    <n v="4"/>
    <n v="0"/>
    <n v="91"/>
    <n v="5"/>
    <n v="4"/>
    <n v="2"/>
    <n v="8"/>
    <n v="5"/>
    <x v="0"/>
    <x v="0"/>
    <x v="0"/>
    <x v="0"/>
    <x v="0"/>
    <n v="0"/>
    <n v="3"/>
    <n v="11"/>
    <x v="1"/>
  </r>
  <r>
    <n v="8720"/>
    <n v="1978"/>
    <x v="4"/>
    <s v="Together"/>
    <n v="51381.5"/>
    <n v="0"/>
    <n v="0"/>
    <d v="2012-08-12T00:00:00"/>
    <n v="53"/>
    <n v="32"/>
    <n v="2"/>
    <n v="1607"/>
    <n v="12"/>
    <n v="4"/>
    <n v="22"/>
    <n v="0"/>
    <n v="0"/>
    <n v="0"/>
    <n v="1"/>
    <n v="0"/>
    <x v="0"/>
    <x v="1"/>
    <x v="0"/>
    <x v="0"/>
    <x v="0"/>
    <n v="0"/>
    <n v="3"/>
    <n v="11"/>
    <x v="1"/>
  </r>
  <r>
    <n v="10084"/>
    <n v="1972"/>
    <x v="0"/>
    <s v="Married"/>
    <n v="24434"/>
    <n v="2"/>
    <n v="0"/>
    <d v="2014-05-18T00:00:00"/>
    <n v="9"/>
    <n v="3"/>
    <n v="2"/>
    <n v="8"/>
    <n v="20"/>
    <n v="0"/>
    <n v="17"/>
    <n v="2"/>
    <n v="2"/>
    <n v="1"/>
    <n v="2"/>
    <n v="7"/>
    <x v="0"/>
    <x v="0"/>
    <x v="0"/>
    <x v="0"/>
    <x v="0"/>
    <n v="0"/>
    <n v="3"/>
    <n v="11"/>
    <x v="1"/>
  </r>
  <r>
    <n v="7004"/>
    <n v="1984"/>
    <x v="0"/>
    <s v="Single"/>
    <n v="11012"/>
    <n v="1"/>
    <n v="0"/>
    <d v="2013-03-16T00:00:00"/>
    <n v="82"/>
    <n v="24"/>
    <n v="3"/>
    <n v="26"/>
    <n v="7"/>
    <n v="1"/>
    <n v="23"/>
    <n v="3"/>
    <n v="3"/>
    <n v="1"/>
    <n v="2"/>
    <n v="9"/>
    <x v="1"/>
    <x v="0"/>
    <x v="0"/>
    <x v="0"/>
    <x v="0"/>
    <n v="0"/>
    <n v="3"/>
    <n v="11"/>
    <x v="1"/>
  </r>
  <r>
    <n v="9817"/>
    <n v="1970"/>
    <x v="2"/>
    <s v="Single"/>
    <n v="44802"/>
    <n v="0"/>
    <n v="0"/>
    <d v="2012-08-21T00:00:00"/>
    <n v="71"/>
    <n v="853"/>
    <n v="10"/>
    <n v="143"/>
    <n v="13"/>
    <n v="10"/>
    <n v="20"/>
    <n v="2"/>
    <n v="9"/>
    <n v="4"/>
    <n v="12"/>
    <n v="8"/>
    <x v="0"/>
    <x v="0"/>
    <x v="0"/>
    <x v="0"/>
    <x v="0"/>
    <n v="0"/>
    <n v="3"/>
    <n v="11"/>
    <x v="1"/>
  </r>
  <r>
    <n v="8080"/>
    <n v="1986"/>
    <x v="0"/>
    <s v="Single"/>
    <n v="26816"/>
    <n v="0"/>
    <n v="0"/>
    <d v="2012-08-17T00:00:00"/>
    <n v="50"/>
    <n v="5"/>
    <n v="1"/>
    <n v="6"/>
    <n v="3"/>
    <n v="4"/>
    <n v="3"/>
    <n v="1"/>
    <n v="0"/>
    <n v="0"/>
    <n v="3"/>
    <n v="4"/>
    <x v="0"/>
    <x v="0"/>
    <x v="0"/>
    <x v="0"/>
    <x v="0"/>
    <n v="0"/>
    <n v="3"/>
    <n v="11"/>
    <x v="1"/>
  </r>
  <r>
    <n v="9432"/>
    <n v="1977"/>
    <x v="0"/>
    <s v="Together"/>
    <n v="666666"/>
    <n v="1"/>
    <n v="0"/>
    <d v="2013-06-02T00:00:00"/>
    <n v="23"/>
    <n v="9"/>
    <n v="14"/>
    <n v="18"/>
    <n v="8"/>
    <n v="1"/>
    <n v="12"/>
    <n v="4"/>
    <n v="3"/>
    <n v="1"/>
    <n v="3"/>
    <n v="6"/>
    <x v="0"/>
    <x v="0"/>
    <x v="0"/>
    <x v="0"/>
    <x v="0"/>
    <n v="0"/>
    <n v="3"/>
    <n v="11"/>
    <x v="1"/>
  </r>
  <r>
    <n v="8372"/>
    <n v="1974"/>
    <x v="0"/>
    <s v="Married"/>
    <n v="34421"/>
    <n v="1"/>
    <n v="0"/>
    <d v="2013-07-01T00:00:00"/>
    <n v="81"/>
    <n v="3"/>
    <n v="3"/>
    <n v="7"/>
    <n v="6"/>
    <n v="2"/>
    <n v="9"/>
    <n v="1"/>
    <n v="1"/>
    <n v="0"/>
    <n v="2"/>
    <n v="7"/>
    <x v="0"/>
    <x v="0"/>
    <x v="0"/>
    <x v="0"/>
    <x v="0"/>
    <n v="0"/>
    <n v="3"/>
    <n v="11"/>
    <x v="1"/>
  </r>
  <r>
    <n v="10870"/>
    <n v="1967"/>
    <x v="0"/>
    <s v="Married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x v="0"/>
    <x v="0"/>
    <x v="0"/>
    <x v="0"/>
    <x v="0"/>
    <n v="0"/>
    <n v="3"/>
    <n v="11"/>
    <x v="1"/>
  </r>
  <r>
    <n v="4001"/>
    <n v="1946"/>
    <x v="1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x v="0"/>
    <x v="0"/>
    <x v="0"/>
    <x v="1"/>
    <x v="0"/>
    <n v="0"/>
    <n v="3"/>
    <n v="11"/>
    <x v="1"/>
  </r>
  <r>
    <n v="7270"/>
    <n v="1981"/>
    <x v="0"/>
    <s v="Divorced"/>
    <n v="56981"/>
    <n v="0"/>
    <n v="0"/>
    <d v="2014-01-25T00:00:00"/>
    <n v="91"/>
    <n v="908"/>
    <n v="48"/>
    <n v="217"/>
    <n v="32"/>
    <n v="12"/>
    <n v="24"/>
    <n v="1"/>
    <n v="2"/>
    <n v="3"/>
    <n v="13"/>
    <n v="6"/>
    <x v="0"/>
    <x v="1"/>
    <x v="0"/>
    <x v="0"/>
    <x v="0"/>
    <n v="0"/>
    <n v="3"/>
    <n v="11"/>
    <x v="1"/>
  </r>
  <r>
    <n v="8235"/>
    <n v="1956"/>
    <x v="2"/>
    <s v="Together"/>
    <n v="69245"/>
    <n v="0"/>
    <n v="1"/>
    <d v="2014-01-24T00:00:00"/>
    <n v="8"/>
    <n v="428"/>
    <n v="30"/>
    <n v="214"/>
    <n v="80"/>
    <n v="30"/>
    <n v="61"/>
    <n v="2"/>
    <n v="6"/>
    <n v="5"/>
    <n v="10"/>
    <n v="3"/>
    <x v="0"/>
    <x v="0"/>
    <x v="0"/>
    <x v="0"/>
    <x v="0"/>
    <n v="0"/>
    <n v="3"/>
    <n v="11"/>
    <x v="1"/>
  </r>
  <r>
    <n v="9405"/>
    <n v="1954"/>
    <x v="1"/>
    <s v="Married"/>
    <n v="52869"/>
    <n v="1"/>
    <n v="1"/>
    <d v="2012-10-15T00:00:00"/>
    <n v="40"/>
    <n v="84"/>
    <n v="3"/>
    <n v="61"/>
    <n v="2"/>
    <n v="1"/>
    <n v="21"/>
    <n v="3"/>
    <n v="3"/>
    <n v="1"/>
    <n v="4"/>
    <n v="7"/>
    <x v="0"/>
    <x v="0"/>
    <x v="0"/>
    <x v="0"/>
    <x v="0"/>
    <n v="0"/>
    <n v="3"/>
    <n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EE88B-751B-4F30-8418-75AC2DA84F3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7:G23" firstHeaderRow="0" firstDataRow="1" firstDataCol="1"/>
  <pivotFields count="29"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ntWines" fld="9" baseField="0" baseItem="0"/>
    <dataField name="Sum of MntFruits" fld="10" baseField="0" baseItem="0"/>
    <dataField name="Sum of MntMeatProducts" fld="11" baseField="0" baseItem="0"/>
    <dataField name="Sum of MntFishProducts" fld="12" baseField="0" baseItem="0"/>
    <dataField name="Sum of MntSweetProducts" fld="13" baseField="0" baseItem="0"/>
    <dataField name="Sum of MntGoldProds" fld="1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ABD4D-53A2-4435-B010-9E01AFEBC7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0" firstHeaderRow="1" firstDataRow="2" firstDataCol="1"/>
  <pivotFields count="29">
    <pivotField dataField="1"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ID" fld="0" subtotal="count" baseField="2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09552-187F-4DEC-AAF7-BD6093DF1045}" name="Table1" displayName="Table1" ref="A1:AC2241" totalsRowShown="0" headerRowDxfId="4" headerRowBorderDxfId="3" tableBorderDxfId="2">
  <autoFilter ref="A1:AC2241" xr:uid="{2C509552-187F-4DEC-AAF7-BD6093DF1045}"/>
  <tableColumns count="29">
    <tableColumn id="1" xr3:uid="{B62E4270-5C77-431F-9029-C8F580D6870D}" name="ID" dataDxfId="1"/>
    <tableColumn id="2" xr3:uid="{DA184586-C215-4687-93AF-FEFEB58197E7}" name="Year_Birth"/>
    <tableColumn id="3" xr3:uid="{5C1F6835-7E84-4A50-B19B-F23179CB6DB4}" name="Education"/>
    <tableColumn id="4" xr3:uid="{243CA589-0B72-4544-9BB8-8416F14E4454}" name="Marital_Status"/>
    <tableColumn id="5" xr3:uid="{DCE4BA5E-36BF-4160-92FE-3706FD754CA3}" name="Income"/>
    <tableColumn id="6" xr3:uid="{64E507F0-F763-4EE1-865E-1B978BED2B66}" name="Kidhome"/>
    <tableColumn id="7" xr3:uid="{332436D6-C995-491C-AD4D-B95ED6DCB3AF}" name="Teenhome"/>
    <tableColumn id="8" xr3:uid="{80816FB6-7F96-4791-A582-EE60FC1C43DA}" name="Dt_Customer" dataDxfId="0"/>
    <tableColumn id="9" xr3:uid="{F458D4E8-1A81-4DD6-B062-107D36117863}" name="Recency"/>
    <tableColumn id="10" xr3:uid="{6BA9866B-FCD6-44A8-8071-1361B8E57D56}" name="MntWines"/>
    <tableColumn id="11" xr3:uid="{79AAAD37-99A9-4316-884D-2EDD2CF1996E}" name="MntFruits"/>
    <tableColumn id="12" xr3:uid="{C1C6249D-8F09-4C2D-966A-97D0C35987A4}" name="MntMeatProducts"/>
    <tableColumn id="13" xr3:uid="{866F9C1B-DE12-4E3A-B643-43799F448EDA}" name="MntFishProducts"/>
    <tableColumn id="14" xr3:uid="{9C60EA2B-484E-4312-9C6E-0A6710A2F875}" name="MntSweetProducts"/>
    <tableColumn id="15" xr3:uid="{F3231099-C11D-4DA0-972C-ADD918FD8AAF}" name="MntGoldProds"/>
    <tableColumn id="16" xr3:uid="{E87D285C-C733-4288-BB62-77F7A9B5B220}" name="NumDealsPurchases"/>
    <tableColumn id="17" xr3:uid="{F6E19BEA-EC68-4B87-8704-8C6BD85CCAA3}" name="NumWebPurchases"/>
    <tableColumn id="18" xr3:uid="{503D9C0E-C048-4069-9AC0-7002879890EC}" name="NumCatalogPurchases"/>
    <tableColumn id="19" xr3:uid="{2AF35B3A-206A-4E96-9C95-F1787164D891}" name="NumStorePurchases"/>
    <tableColumn id="20" xr3:uid="{1620F717-E6D6-4F71-A99D-481B2A556D2A}" name="NumWebVisitsMonth"/>
    <tableColumn id="21" xr3:uid="{2009CFDE-364E-45B8-A9DB-B18108467002}" name="AcceptedCmp3"/>
    <tableColumn id="22" xr3:uid="{EB44399B-6909-4775-8A10-6787D83E17EB}" name="AcceptedCmp4"/>
    <tableColumn id="23" xr3:uid="{922002EB-D674-4991-8092-E4D7992AA377}" name="AcceptedCmp5"/>
    <tableColumn id="24" xr3:uid="{15A03D68-43F0-4B44-810A-11FDAFDC678B}" name="AcceptedCmp1"/>
    <tableColumn id="25" xr3:uid="{BECCCC5B-9B0F-4AB1-AAF3-B7F3A02650A8}" name="AcceptedCmp2"/>
    <tableColumn id="26" xr3:uid="{28F178F7-51AF-443D-8C0A-D238F9607673}" name="Complain"/>
    <tableColumn id="27" xr3:uid="{68DC223A-6ADE-45C9-82FB-08D0C9A200D2}" name="Z_CostContact"/>
    <tableColumn id="28" xr3:uid="{21D36F62-78A8-43F2-B468-30ED8BF87584}" name="Z_Revenue"/>
    <tableColumn id="29" xr3:uid="{F24C158B-211F-4513-8D9F-ADF17DCF6B61}" name="Respons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zoomScale="70" zoomScaleNormal="70" workbookViewId="0">
      <pane ySplit="1" topLeftCell="A2" activePane="bottomLeft" state="frozen"/>
      <selection pane="bottomLeft" activeCell="AD2" sqref="AD2"/>
    </sheetView>
  </sheetViews>
  <sheetFormatPr defaultRowHeight="14.4" x14ac:dyDescent="0.3"/>
  <cols>
    <col min="1" max="1" width="6.6640625" bestFit="1" customWidth="1"/>
    <col min="2" max="2" width="10.21875" bestFit="1" customWidth="1"/>
    <col min="3" max="3" width="11.109375" bestFit="1" customWidth="1"/>
    <col min="4" max="4" width="13.5546875" bestFit="1" customWidth="1"/>
    <col min="5" max="5" width="7.77734375" bestFit="1" customWidth="1"/>
    <col min="7" max="7" width="10.44140625" bestFit="1" customWidth="1"/>
    <col min="8" max="8" width="12.6640625" bestFit="1" customWidth="1"/>
    <col min="9" max="9" width="8" bestFit="1" customWidth="1"/>
    <col min="10" max="10" width="10.109375" bestFit="1" customWidth="1"/>
    <col min="11" max="11" width="9.6640625" bestFit="1" customWidth="1"/>
    <col min="12" max="12" width="17.109375" bestFit="1" customWidth="1"/>
    <col min="13" max="13" width="15.77734375" bestFit="1" customWidth="1"/>
    <col min="14" max="14" width="18" bestFit="1" customWidth="1"/>
    <col min="15" max="15" width="13.5546875" bestFit="1" customWidth="1"/>
    <col min="16" max="16" width="18.6640625" bestFit="1" customWidth="1"/>
    <col min="17" max="17" width="18.21875" bestFit="1" customWidth="1"/>
    <col min="18" max="18" width="20.5546875" bestFit="1" customWidth="1"/>
    <col min="19" max="19" width="18.88671875" bestFit="1" customWidth="1"/>
    <col min="20" max="20" width="20.21875" bestFit="1" customWidth="1"/>
    <col min="21" max="25" width="14.21875" bestFit="1" customWidth="1"/>
    <col min="26" max="26" width="9.109375" bestFit="1" customWidth="1"/>
    <col min="27" max="27" width="13.44140625" bestFit="1" customWidth="1"/>
    <col min="28" max="28" width="10.5546875" bestFit="1" customWidth="1"/>
    <col min="29" max="29" width="9.332031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 s="1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 s="1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 s="1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 s="1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 s="1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 s="1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 s="1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 s="1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 s="1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 s="1">
        <v>1994</v>
      </c>
      <c r="B12">
        <v>1983</v>
      </c>
      <c r="C12" t="s">
        <v>29</v>
      </c>
      <c r="D12" t="s">
        <v>37</v>
      </c>
      <c r="F12">
        <v>1</v>
      </c>
      <c r="G12">
        <v>0</v>
      </c>
      <c r="H12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 s="1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 s="1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 s="1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 s="1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 s="1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 s="1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 s="1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 s="1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 s="1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 s="1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 s="1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 s="1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 s="1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 s="1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 s="1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 s="1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 s="1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 s="1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 s="1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 s="1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 s="1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 s="1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 s="1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 s="1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 s="1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 s="1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 s="1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 s="1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 s="1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 s="1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 s="1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 s="1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 s="1">
        <v>7281</v>
      </c>
      <c r="B45">
        <v>1959</v>
      </c>
      <c r="C45" t="s">
        <v>36</v>
      </c>
      <c r="D45" t="s">
        <v>30</v>
      </c>
      <c r="F45">
        <v>0</v>
      </c>
      <c r="G45">
        <v>0</v>
      </c>
      <c r="H45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 s="1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 s="1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 s="1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 s="1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 s="1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 s="1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 s="1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 s="1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 s="1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 s="1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 s="1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 s="1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 s="1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 s="1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 s="1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 s="1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 s="1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 s="1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 s="1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 s="1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 s="1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 s="1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 s="1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 s="1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 s="1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 s="1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 s="1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 s="1">
        <v>10629</v>
      </c>
      <c r="B73">
        <v>1973</v>
      </c>
      <c r="C73" t="s">
        <v>53</v>
      </c>
      <c r="D73" t="s">
        <v>37</v>
      </c>
      <c r="F73">
        <v>1</v>
      </c>
      <c r="G73">
        <v>0</v>
      </c>
      <c r="H73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 s="1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 s="1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 s="1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 s="1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 s="1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 s="1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 s="1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 s="1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 s="1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 s="1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 s="1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 s="1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 s="1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 s="1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 s="1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 s="1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 s="1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 s="1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 s="1">
        <v>8996</v>
      </c>
      <c r="B92">
        <v>1957</v>
      </c>
      <c r="C92" t="s">
        <v>36</v>
      </c>
      <c r="D92" t="s">
        <v>37</v>
      </c>
      <c r="F92">
        <v>2</v>
      </c>
      <c r="G92">
        <v>1</v>
      </c>
      <c r="H92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 s="1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 s="1">
        <v>5798</v>
      </c>
      <c r="B94">
        <v>1973</v>
      </c>
      <c r="C94" t="s">
        <v>39</v>
      </c>
      <c r="D94" t="s">
        <v>33</v>
      </c>
      <c r="F94">
        <v>0</v>
      </c>
      <c r="G94">
        <v>0</v>
      </c>
      <c r="H94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 s="1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 s="1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 s="1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 s="1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 s="1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 s="1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 s="1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 s="1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 s="1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 s="1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 s="1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 s="1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 s="1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 s="1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 s="1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 s="1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 s="1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 s="1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 s="1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 s="1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 s="1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 s="1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 s="1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 s="1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 s="1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 s="1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 s="1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 s="1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 s="1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 s="1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 s="1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 s="1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 s="1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 s="1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 s="1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 s="1">
        <v>8268</v>
      </c>
      <c r="B130">
        <v>1961</v>
      </c>
      <c r="C130" t="s">
        <v>36</v>
      </c>
      <c r="D130" t="s">
        <v>37</v>
      </c>
      <c r="F130">
        <v>0</v>
      </c>
      <c r="G130">
        <v>1</v>
      </c>
      <c r="H130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 s="1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 s="1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 s="1">
        <v>433</v>
      </c>
      <c r="B133">
        <v>1958</v>
      </c>
      <c r="C133" t="s">
        <v>39</v>
      </c>
      <c r="D133" t="s">
        <v>704</v>
      </c>
      <c r="E133">
        <v>61331</v>
      </c>
      <c r="F133">
        <v>1</v>
      </c>
      <c r="G133">
        <v>1</v>
      </c>
      <c r="H133" t="s">
        <v>151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 s="1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 s="1">
        <v>1295</v>
      </c>
      <c r="B135">
        <v>1963</v>
      </c>
      <c r="C135" t="s">
        <v>29</v>
      </c>
      <c r="D135" t="s">
        <v>37</v>
      </c>
      <c r="F135">
        <v>0</v>
      </c>
      <c r="G135">
        <v>1</v>
      </c>
      <c r="H135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 s="1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t="s">
        <v>152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 s="1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 s="1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 s="1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t="s">
        <v>153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 s="1">
        <v>7660</v>
      </c>
      <c r="B140">
        <v>1973</v>
      </c>
      <c r="C140" t="s">
        <v>36</v>
      </c>
      <c r="D140" t="s">
        <v>704</v>
      </c>
      <c r="E140">
        <v>35860</v>
      </c>
      <c r="F140">
        <v>1</v>
      </c>
      <c r="G140">
        <v>1</v>
      </c>
      <c r="H140" t="s">
        <v>154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 s="1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t="s">
        <v>155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 s="1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t="s">
        <v>156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 s="1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 s="1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t="s">
        <v>157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 s="1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t="s">
        <v>158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 s="1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t="s">
        <v>159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 s="1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t="s">
        <v>160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 s="1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t="s">
        <v>161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 s="1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t="s">
        <v>158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 s="1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t="s">
        <v>162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 s="1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t="s">
        <v>163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 s="1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t="s">
        <v>164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 s="1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t="s">
        <v>165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 s="1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t="s">
        <v>166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 s="1">
        <v>92</v>
      </c>
      <c r="B155">
        <v>1988</v>
      </c>
      <c r="C155" t="s">
        <v>29</v>
      </c>
      <c r="D155" t="s">
        <v>704</v>
      </c>
      <c r="E155">
        <v>34176</v>
      </c>
      <c r="F155">
        <v>1</v>
      </c>
      <c r="G155">
        <v>0</v>
      </c>
      <c r="H155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 s="1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t="s">
        <v>167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 s="1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 s="1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t="s">
        <v>168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 s="1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t="s">
        <v>169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 s="1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t="s">
        <v>170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 s="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171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 s="1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t="s">
        <v>172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 s="1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t="s">
        <v>173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 s="1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t="s">
        <v>174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 s="1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t="s">
        <v>175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 s="1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t="s">
        <v>176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 s="1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t="s">
        <v>177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 s="1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t="s">
        <v>178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 s="1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t="s">
        <v>158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 s="1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 s="1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 s="1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t="s">
        <v>179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 s="1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t="s">
        <v>180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 s="1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t="s">
        <v>179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 s="1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t="s">
        <v>181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 s="1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t="s">
        <v>182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 s="1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t="s">
        <v>183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 s="1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t="s">
        <v>184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 s="1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t="s">
        <v>185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 s="1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t="s">
        <v>186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 s="1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 s="1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 s="1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 s="1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t="s">
        <v>187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 s="1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t="s">
        <v>188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 s="1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t="s">
        <v>189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 s="1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t="s">
        <v>190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 s="1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 s="1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t="s">
        <v>191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 s="1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t="s">
        <v>159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 s="1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t="s">
        <v>192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 s="1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t="s">
        <v>193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 s="1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 s="1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t="s">
        <v>194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 s="1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t="s">
        <v>195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 s="1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 s="1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t="s">
        <v>196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 s="1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t="s">
        <v>197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 s="1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t="s">
        <v>198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 s="1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t="s">
        <v>199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 s="1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t="s">
        <v>200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 s="1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t="s">
        <v>201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 s="1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t="s">
        <v>202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 s="1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t="s">
        <v>203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 s="1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t="s">
        <v>204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 s="1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t="s">
        <v>205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 s="1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 s="1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t="s">
        <v>206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 s="1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t="s">
        <v>207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 s="1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 s="1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t="s">
        <v>208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 s="1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t="s">
        <v>209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 s="1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t="s">
        <v>210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 s="1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t="s">
        <v>211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 s="1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t="s">
        <v>212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 s="1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t="s">
        <v>213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 s="1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t="s">
        <v>214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 s="1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 s="1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 s="1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t="s">
        <v>215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 s="1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t="s">
        <v>216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 s="1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t="s">
        <v>217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 s="1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 s="1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t="s">
        <v>218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 s="1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t="s">
        <v>219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 s="1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t="s">
        <v>220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 s="1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t="s">
        <v>221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 s="1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t="s">
        <v>222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 s="1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t="s">
        <v>223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 s="1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 s="1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t="s">
        <v>224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 s="1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225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 s="1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t="s">
        <v>219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 s="1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t="s">
        <v>226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 s="1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227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 s="1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t="s">
        <v>228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 s="1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t="s">
        <v>202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 s="1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t="s">
        <v>229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 s="1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t="s">
        <v>230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 s="1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231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 s="1">
        <v>11004</v>
      </c>
      <c r="B241">
        <v>1893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t="s">
        <v>232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 s="1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t="s">
        <v>233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 s="1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 s="1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234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 s="1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t="s">
        <v>235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 s="1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t="s">
        <v>236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 s="1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t="s">
        <v>237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 s="1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t="s">
        <v>238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 s="1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t="s">
        <v>239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 s="1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 s="1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 s="1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t="s">
        <v>240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 s="1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241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 s="1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 s="1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t="s">
        <v>242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 s="1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 s="1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t="s">
        <v>243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 s="1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t="s">
        <v>244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 s="1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245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 s="1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t="s">
        <v>246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 s="1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t="s">
        <v>206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 s="1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 s="1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t="s">
        <v>247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 s="1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t="s">
        <v>248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 s="1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t="s">
        <v>249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 s="1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t="s">
        <v>250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 s="1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t="s">
        <v>251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 s="1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t="s">
        <v>252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 s="1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t="s">
        <v>253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 s="1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t="s">
        <v>254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 s="1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t="s">
        <v>230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 s="1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242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 s="1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t="s">
        <v>255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 s="1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t="s">
        <v>256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 s="1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t="s">
        <v>257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 s="1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t="s">
        <v>258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 s="1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t="s">
        <v>240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 s="1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199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 s="1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 s="1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 s="1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 s="1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t="s">
        <v>259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 s="1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t="s">
        <v>222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 s="1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 s="1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t="s">
        <v>176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 s="1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t="s">
        <v>260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 s="1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t="s">
        <v>261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 s="1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t="s">
        <v>262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 s="1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t="s">
        <v>263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 s="1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 s="1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t="s">
        <v>264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 s="1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 s="1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t="s">
        <v>265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 s="1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t="s">
        <v>266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 s="1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t="s">
        <v>267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 s="1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 s="1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t="s">
        <v>268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 s="1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t="s">
        <v>269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 s="1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t="s">
        <v>270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 s="1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t="s">
        <v>271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 s="1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t="s">
        <v>272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 s="1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t="s">
        <v>227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 s="1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t="s">
        <v>273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 s="1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t="s">
        <v>176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 s="1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274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 s="1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t="s">
        <v>265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 s="1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 s="1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t="s">
        <v>275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 s="1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t="s">
        <v>276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 s="1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 s="1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t="s">
        <v>277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 s="1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t="s">
        <v>278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 s="1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t="s">
        <v>233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 s="1">
        <v>2437</v>
      </c>
      <c r="B314">
        <v>1989</v>
      </c>
      <c r="C314" t="s">
        <v>29</v>
      </c>
      <c r="D314" t="s">
        <v>37</v>
      </c>
      <c r="F314">
        <v>0</v>
      </c>
      <c r="G314">
        <v>0</v>
      </c>
      <c r="H314" t="s">
        <v>279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 s="1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t="s">
        <v>258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 s="1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t="s">
        <v>280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 s="1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t="s">
        <v>281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 s="1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t="s">
        <v>282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 s="1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283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 s="1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 s="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284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 s="1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t="s">
        <v>199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 s="1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t="s">
        <v>172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 s="1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t="s">
        <v>285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 s="1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t="s">
        <v>286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 s="1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t="s">
        <v>287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 s="1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t="s">
        <v>288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 s="1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t="s">
        <v>289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 s="1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t="s">
        <v>290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 s="1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t="s">
        <v>291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 s="1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t="s">
        <v>292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 s="1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293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 s="1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t="s">
        <v>294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 s="1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t="s">
        <v>295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 s="1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t="s">
        <v>296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 s="1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t="s">
        <v>297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 s="1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t="s">
        <v>183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 s="1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t="s">
        <v>298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 s="1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t="s">
        <v>299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 s="1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t="s">
        <v>300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 s="1">
        <v>1150</v>
      </c>
      <c r="B341">
        <v>1899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t="s">
        <v>194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 s="1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t="s">
        <v>301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 s="1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t="s">
        <v>302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 s="1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t="s">
        <v>249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 s="1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t="s">
        <v>264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 s="1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t="s">
        <v>303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 s="1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t="s">
        <v>304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 s="1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 s="1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t="s">
        <v>305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 s="1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t="s">
        <v>306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 s="1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t="s">
        <v>307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 s="1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t="s">
        <v>280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 s="1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t="s">
        <v>296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 s="1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t="s">
        <v>233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 s="1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t="s">
        <v>308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 s="1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t="s">
        <v>309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 s="1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310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 s="1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 s="1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 s="1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t="s">
        <v>171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 s="1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t="s">
        <v>311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 s="1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t="s">
        <v>312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 s="1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t="s">
        <v>313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 s="1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 s="1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t="s">
        <v>249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 s="1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t="s">
        <v>314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 s="1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315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 s="1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 s="1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t="s">
        <v>316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 s="1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t="s">
        <v>317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 s="1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t="s">
        <v>318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 s="1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t="s">
        <v>319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 s="1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t="s">
        <v>161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 s="1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 s="1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t="s">
        <v>320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 s="1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t="s">
        <v>321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 s="1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t="s">
        <v>322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 s="1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 s="1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323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 s="1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 s="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324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 s="1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t="s">
        <v>263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 s="1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 s="1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 s="1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t="s">
        <v>162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 s="1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 s="1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226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 s="1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t="s">
        <v>325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 s="1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t="s">
        <v>211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 s="1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t="s">
        <v>326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 s="1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 s="1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t="s">
        <v>307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 s="1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t="s">
        <v>202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 s="1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t="s">
        <v>327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 s="1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t="s">
        <v>328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 s="1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 s="1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t="s">
        <v>329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 s="1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t="s">
        <v>330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 s="1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 s="1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 s="1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 s="1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t="s">
        <v>228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 s="1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t="s">
        <v>331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 s="1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303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 s="1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t="s">
        <v>332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 s="1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t="s">
        <v>333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 s="1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t="s">
        <v>334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 s="1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t="s">
        <v>326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 s="1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t="s">
        <v>335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 s="1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 s="1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t="s">
        <v>336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 s="1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t="s">
        <v>317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 s="1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 s="1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t="s">
        <v>337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 s="1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162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 s="1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t="s">
        <v>338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 s="1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t="s">
        <v>200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 s="1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t="s">
        <v>339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 s="1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t="s">
        <v>340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 s="1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341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 s="1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t="s">
        <v>342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 s="1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t="s">
        <v>343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 s="1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 s="1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t="s">
        <v>237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 s="1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t="s">
        <v>246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 s="1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t="s">
        <v>344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 s="1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t="s">
        <v>229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 s="1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t="s">
        <v>164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 s="1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t="s">
        <v>345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 s="1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t="s">
        <v>327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 s="1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t="s">
        <v>346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 s="1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t="s">
        <v>291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 s="1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 s="1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t="s">
        <v>338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 s="1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t="s">
        <v>347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 s="1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t="s">
        <v>348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 s="1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t="s">
        <v>349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 s="1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t="s">
        <v>350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 s="1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t="s">
        <v>351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 s="1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t="s">
        <v>352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 s="1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t="s">
        <v>286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 s="1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 s="1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t="s">
        <v>353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 s="1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t="s">
        <v>354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 s="1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323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 s="1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t="s">
        <v>272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 s="1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t="s">
        <v>180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 s="1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t="s">
        <v>355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 s="1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196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 s="1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t="s">
        <v>356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 s="1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t="s">
        <v>357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 s="1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t="s">
        <v>358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 s="1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t="s">
        <v>359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 s="1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t="s">
        <v>170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 s="1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 s="1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 s="1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t="s">
        <v>360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 s="1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t="s">
        <v>330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 s="1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t="s">
        <v>361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 s="1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t="s">
        <v>362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 s="1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t="s">
        <v>363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 s="1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 s="1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t="s">
        <v>364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 s="1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t="s">
        <v>365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 s="1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t="s">
        <v>252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 s="1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 s="1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 s="1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t="s">
        <v>366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 s="1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t="s">
        <v>266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 s="1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t="s">
        <v>367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 s="1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t="s">
        <v>368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 s="1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t="s">
        <v>369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 s="1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t="s">
        <v>370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 s="1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t="s">
        <v>371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 s="1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 s="1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372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 s="1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 s="1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t="s">
        <v>373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 s="1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t="s">
        <v>185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 s="1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t="s">
        <v>374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 s="1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t="s">
        <v>266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 s="1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t="s">
        <v>375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 s="1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 s="1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376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 s="1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t="s">
        <v>377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 s="1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 s="1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 s="1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 s="1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t="s">
        <v>378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 s="1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t="s">
        <v>379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 s="1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t="s">
        <v>161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 s="1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t="s">
        <v>380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 s="1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t="s">
        <v>381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 s="1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t="s">
        <v>341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 s="1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t="s">
        <v>271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 s="1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t="s">
        <v>382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 s="1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t="s">
        <v>344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 s="1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t="s">
        <v>345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 s="1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 s="1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 s="1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t="s">
        <v>295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 s="1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t="s">
        <v>383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 s="1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 s="1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t="s">
        <v>384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 s="1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t="s">
        <v>385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 s="1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t="s">
        <v>349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 s="1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t="s">
        <v>386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 s="1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t="s">
        <v>387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 s="1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388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 s="1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t="s">
        <v>349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 s="1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t="s">
        <v>184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 s="1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t="s">
        <v>389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 s="1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 s="1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t="s">
        <v>390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 s="1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t="s">
        <v>272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 s="1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 s="1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t="s">
        <v>391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 s="1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t="s">
        <v>250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 s="1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297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 s="1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t="s">
        <v>284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 s="1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t="s">
        <v>176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 s="1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t="s">
        <v>392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 s="1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t="s">
        <v>176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 s="1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t="s">
        <v>393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 s="1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t="s">
        <v>394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 s="1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t="s">
        <v>220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 s="1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t="s">
        <v>395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 s="1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t="s">
        <v>382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 s="1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 s="1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t="s">
        <v>396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 s="1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t="s">
        <v>397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 s="1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t="s">
        <v>398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 s="1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399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 s="1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t="s">
        <v>400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 s="1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t="s">
        <v>401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 s="1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 s="1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 s="1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t="s">
        <v>278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 s="1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t="s">
        <v>402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 s="1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t="s">
        <v>403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 s="1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t="s">
        <v>404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 s="1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t="s">
        <v>290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 s="1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t="s">
        <v>383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 s="1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t="s">
        <v>405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 s="1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t="s">
        <v>406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 s="1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t="s">
        <v>246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 s="1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 s="1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t="s">
        <v>407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 s="1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t="s">
        <v>408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 s="1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t="s">
        <v>379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 s="1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t="s">
        <v>409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 s="1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t="s">
        <v>200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 s="1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t="s">
        <v>410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 s="1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t="s">
        <v>411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 s="1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t="s">
        <v>328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 s="1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t="s">
        <v>412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 s="1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t="s">
        <v>183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 s="1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t="s">
        <v>413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 s="1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 s="1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t="s">
        <v>414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 s="1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t="s">
        <v>247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 s="1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 s="1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415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 s="1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t="s">
        <v>416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 s="1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t="s">
        <v>267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 s="1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 s="1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 s="1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t="s">
        <v>190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 s="1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t="s">
        <v>351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 s="1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t="s">
        <v>288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 s="1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 s="1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t="s">
        <v>183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 s="1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t="s">
        <v>392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 s="1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t="s">
        <v>417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 s="1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t="s">
        <v>418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 s="1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 s="1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t="s">
        <v>419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 s="1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t="s">
        <v>214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 s="1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t="s">
        <v>284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 s="1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t="s">
        <v>240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 s="1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t="s">
        <v>420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 s="1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 s="1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 s="1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t="s">
        <v>390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 s="1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t="s">
        <v>421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 s="1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t="s">
        <v>422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 s="1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t="s">
        <v>423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 s="1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t="s">
        <v>424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 s="1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t="s">
        <v>425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 s="1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t="s">
        <v>232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 s="1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t="s">
        <v>171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 s="1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 s="1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 s="1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t="s">
        <v>304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 s="1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t="s">
        <v>181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 s="1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t="s">
        <v>294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 s="1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t="s">
        <v>198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 s="1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t="s">
        <v>426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 s="1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t="s">
        <v>427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 s="1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t="s">
        <v>246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 s="1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t="s">
        <v>236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 s="1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428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 s="1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 s="1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429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 s="1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t="s">
        <v>223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 s="1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t="s">
        <v>430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 s="1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t="s">
        <v>384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 s="1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 s="1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t="s">
        <v>332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 s="1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t="s">
        <v>426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 s="1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t="s">
        <v>431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 s="1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t="s">
        <v>432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 s="1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t="s">
        <v>433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 s="1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t="s">
        <v>434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 s="1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t="s">
        <v>233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 s="1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 s="1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t="s">
        <v>435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 s="1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t="s">
        <v>436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 s="1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t="s">
        <v>279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 s="1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 s="1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t="s">
        <v>236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 s="1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 s="1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437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 s="1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t="s">
        <v>438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 s="1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t="s">
        <v>439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 s="1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t="s">
        <v>279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 s="1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t="s">
        <v>440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 s="1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t="s">
        <v>279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 s="1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t="s">
        <v>441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 s="1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t="s">
        <v>442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 s="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443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 s="1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t="s">
        <v>444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 s="1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t="s">
        <v>445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 s="1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t="s">
        <v>267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 s="1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t="s">
        <v>402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 s="1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328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 s="1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t="s">
        <v>438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 s="1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t="s">
        <v>246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 s="1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t="s">
        <v>263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 s="1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t="s">
        <v>312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 s="1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t="s">
        <v>412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 s="1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t="s">
        <v>211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 s="1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t="s">
        <v>197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 s="1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t="s">
        <v>323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 s="1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t="s">
        <v>446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 s="1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t="s">
        <v>151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 s="1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t="s">
        <v>447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 s="1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t="s">
        <v>212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 s="1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t="s">
        <v>448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 s="1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t="s">
        <v>185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 s="1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t="s">
        <v>240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 s="1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t="s">
        <v>449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 s="1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 s="1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t="s">
        <v>396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 s="1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t="s">
        <v>274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 s="1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t="s">
        <v>450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 s="1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t="s">
        <v>411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 s="1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t="s">
        <v>451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 s="1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t="s">
        <v>242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 s="1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t="s">
        <v>215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 s="1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t="s">
        <v>452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 s="1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 s="1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 s="1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t="s">
        <v>453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 s="1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 s="1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t="s">
        <v>454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 s="1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t="s">
        <v>314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 s="1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t="s">
        <v>455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 s="1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t="s">
        <v>456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 s="1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t="s">
        <v>291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 s="1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t="s">
        <v>290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 s="1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t="s">
        <v>282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 s="1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t="s">
        <v>457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 s="1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t="s">
        <v>183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 s="1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t="s">
        <v>458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 s="1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t="s">
        <v>318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 s="1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 s="1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t="s">
        <v>459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 s="1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t="s">
        <v>460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 s="1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t="s">
        <v>415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 s="1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t="s">
        <v>404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 s="1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t="s">
        <v>461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 s="1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t="s">
        <v>326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 s="1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t="s">
        <v>462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 s="1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t="s">
        <v>463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 s="1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t="s">
        <v>464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 s="1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t="s">
        <v>269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 s="1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t="s">
        <v>183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 s="1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t="s">
        <v>371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 s="1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t="s">
        <v>465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 s="1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 s="1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t="s">
        <v>466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 s="1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467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 s="1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t="s">
        <v>261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 s="1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 s="1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t="s">
        <v>468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 s="1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t="s">
        <v>435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 s="1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469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 s="1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 s="1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t="s">
        <v>397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 s="1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t="s">
        <v>470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 s="1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t="s">
        <v>429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 s="1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t="s">
        <v>471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 s="1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 s="1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t="s">
        <v>472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 s="1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t="s">
        <v>231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 s="1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t="s">
        <v>296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 s="1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t="s">
        <v>473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 s="1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t="s">
        <v>474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 s="1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t="s">
        <v>475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 s="1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t="s">
        <v>296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 s="1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t="s">
        <v>261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 s="1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t="s">
        <v>476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 s="1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 s="1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t="s">
        <v>477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 s="1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t="s">
        <v>406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 s="1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 s="1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t="s">
        <v>424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 s="1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t="s">
        <v>259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 s="1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t="s">
        <v>209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 s="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409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 s="1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 s="1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t="s">
        <v>358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 s="1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t="s">
        <v>185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 s="1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t="s">
        <v>292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 s="1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t="s">
        <v>478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 s="1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 s="1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 s="1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t="s">
        <v>479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 s="1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t="s">
        <v>480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 s="1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t="s">
        <v>421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 s="1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 s="1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t="s">
        <v>481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 s="1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 s="1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t="s">
        <v>325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 s="1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t="s">
        <v>355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 s="1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t="s">
        <v>472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 s="1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t="s">
        <v>482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 s="1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t="s">
        <v>483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 s="1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 s="1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t="s">
        <v>484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 s="1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t="s">
        <v>228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 s="1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t="s">
        <v>485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 s="1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 s="1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t="s">
        <v>418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 s="1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t="s">
        <v>479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 s="1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t="s">
        <v>486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 s="1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t="s">
        <v>202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 s="1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t="s">
        <v>487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 s="1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488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 s="1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t="s">
        <v>489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 s="1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 s="1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t="s">
        <v>490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 s="1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t="s">
        <v>453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 s="1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t="s">
        <v>491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 s="1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t="s">
        <v>492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 s="1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t="s">
        <v>493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 s="1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 s="1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t="s">
        <v>198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 s="1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t="s">
        <v>494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 s="1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t="s">
        <v>257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 s="1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t="s">
        <v>490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 s="1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164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 s="1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t="s">
        <v>233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 s="1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t="s">
        <v>495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 s="1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 s="1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t="s">
        <v>277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 s="1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 s="1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t="s">
        <v>496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 s="1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t="s">
        <v>497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 s="1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t="s">
        <v>498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 s="1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 s="1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t="s">
        <v>499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 s="1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401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 s="1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t="s">
        <v>344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 s="1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t="s">
        <v>500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 s="1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t="s">
        <v>485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 s="1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t="s">
        <v>501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 s="1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t="s">
        <v>379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 s="1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t="s">
        <v>502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 s="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t="s">
        <v>169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 s="1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t="s">
        <v>345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 s="1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t="s">
        <v>218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 s="1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 s="1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 s="1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t="s">
        <v>503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 s="1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 s="1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t="s">
        <v>402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 s="1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 s="1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t="s">
        <v>504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 s="1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t="s">
        <v>220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 s="1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t="s">
        <v>505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 s="1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t="s">
        <v>386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 s="1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388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 s="1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t="s">
        <v>506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 s="1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 s="1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t="s">
        <v>440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 s="1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 s="1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t="s">
        <v>374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 s="1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t="s">
        <v>507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 s="1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t="s">
        <v>508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 s="1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t="s">
        <v>448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 s="1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t="s">
        <v>221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 s="1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t="s">
        <v>509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 s="1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 s="1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t="s">
        <v>510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 s="1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t="s">
        <v>511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 s="1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 s="1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t="s">
        <v>452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 s="1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t="s">
        <v>512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 s="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t="s">
        <v>510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 s="1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t="s">
        <v>325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 s="1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 s="1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513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 s="1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t="s">
        <v>514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 s="1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 s="1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 s="1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t="s">
        <v>471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 s="1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 s="1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t="s">
        <v>409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 s="1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t="s">
        <v>497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 s="1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t="s">
        <v>515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 s="1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t="s">
        <v>403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 s="1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189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 s="1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t="s">
        <v>328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 s="1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t="s">
        <v>247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 s="1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t="s">
        <v>293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 s="1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t="s">
        <v>446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 s="1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t="s">
        <v>271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 s="1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 s="1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t="s">
        <v>176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 s="1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 s="1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t="s">
        <v>208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 s="1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t="s">
        <v>515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 s="1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 s="1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t="s">
        <v>516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 s="1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t="s">
        <v>482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 s="1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t="s">
        <v>346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 s="1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t="s">
        <v>424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 s="1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t="s">
        <v>289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 s="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517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 s="1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t="s">
        <v>518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 s="1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t="s">
        <v>519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 s="1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 s="1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 s="1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t="s">
        <v>520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 s="1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t="s">
        <v>521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 s="1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t="s">
        <v>522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 s="1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 s="1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523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 s="1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t="s">
        <v>495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 s="1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264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 s="1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 s="1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t="s">
        <v>524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 s="1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t="s">
        <v>525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 s="1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t="s">
        <v>272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 s="1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t="s">
        <v>361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 s="1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t="s">
        <v>526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 s="1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 s="1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t="s">
        <v>466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 s="1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t="s">
        <v>515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 s="1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t="s">
        <v>379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 s="1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t="s">
        <v>402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 s="1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t="s">
        <v>239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 s="1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t="s">
        <v>466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 s="1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t="s">
        <v>280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 s="1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 s="1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t="s">
        <v>221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 s="1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 s="1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t="s">
        <v>436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 s="1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t="s">
        <v>336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 s="1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t="s">
        <v>187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 s="1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t="s">
        <v>527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 s="1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t="s">
        <v>528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 s="1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t="s">
        <v>182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 s="1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t="s">
        <v>329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 s="1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t="s">
        <v>429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 s="1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t="s">
        <v>297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 s="1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t="s">
        <v>516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 s="1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t="s">
        <v>345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 s="1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t="s">
        <v>199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 s="1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 s="1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t="s">
        <v>244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 s="1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 s="1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t="s">
        <v>529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 s="1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t="s">
        <v>183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 s="1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t="s">
        <v>289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 s="1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t="s">
        <v>530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 s="1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t="s">
        <v>531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 s="1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t="s">
        <v>361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 s="1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t="s">
        <v>458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 s="1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t="s">
        <v>493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 s="1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t="s">
        <v>220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 s="1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t="s">
        <v>532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 s="1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 s="1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 s="1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 s="1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t="s">
        <v>406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 s="1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t="s">
        <v>533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 s="1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 s="1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t="s">
        <v>333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 s="1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t="s">
        <v>258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 s="1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t="s">
        <v>393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 s="1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t="s">
        <v>437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 s="1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t="s">
        <v>229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 s="1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t="s">
        <v>534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 s="1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t="s">
        <v>470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 s="1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475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 s="1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t="s">
        <v>387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 s="1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t="s">
        <v>451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 s="1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t="s">
        <v>438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 s="1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t="s">
        <v>535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 s="1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t="s">
        <v>290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 s="1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t="s">
        <v>536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 s="1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t="s">
        <v>437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 s="1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t="s">
        <v>381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 s="1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 s="1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t="s">
        <v>231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 s="1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t="s">
        <v>406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 s="1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t="s">
        <v>537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 s="1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t="s">
        <v>538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 s="1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t="s">
        <v>274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 s="1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539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 s="1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t="s">
        <v>540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 s="1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t="s">
        <v>327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 s="1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t="s">
        <v>372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 s="1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 s="1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 s="1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t="s">
        <v>375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 s="1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t="s">
        <v>327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 s="1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t="s">
        <v>537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 s="1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t="s">
        <v>410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 s="1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 s="1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t="s">
        <v>396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 s="1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t="s">
        <v>309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 s="1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 s="1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t="s">
        <v>362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 s="1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t="s">
        <v>463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 s="1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t="s">
        <v>247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 s="1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437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 s="1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t="s">
        <v>541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 s="1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t="s">
        <v>542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 s="1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t="s">
        <v>543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 s="1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t="s">
        <v>544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 s="1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t="s">
        <v>545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 s="1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t="s">
        <v>309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 s="1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t="s">
        <v>546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 s="1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t="s">
        <v>224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 s="1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 s="1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 s="1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t="s">
        <v>546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 s="1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 s="1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 s="1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t="s">
        <v>262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 s="1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 s="1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 s="1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t="s">
        <v>547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 s="1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t="s">
        <v>318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 s="1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236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 s="1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t="s">
        <v>431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 s="1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t="s">
        <v>277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 s="1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t="s">
        <v>441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 s="1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t="s">
        <v>431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 s="1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t="s">
        <v>323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 s="1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t="s">
        <v>203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 s="1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 s="1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t="s">
        <v>169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 s="1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t="s">
        <v>432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 s="1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 s="1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t="s">
        <v>344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 s="1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t="s">
        <v>243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 s="1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t="s">
        <v>348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 s="1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t="s">
        <v>199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 s="1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t="s">
        <v>299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 s="1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t="s">
        <v>537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 s="1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t="s">
        <v>548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 s="1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t="s">
        <v>549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 s="1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t="s">
        <v>478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 s="1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t="s">
        <v>480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 s="1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t="s">
        <v>307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 s="1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t="s">
        <v>169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 s="1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t="s">
        <v>261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 s="1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t="s">
        <v>550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 s="1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t="s">
        <v>406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 s="1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t="s">
        <v>203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 s="1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t="s">
        <v>303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 s="1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 s="1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t="s">
        <v>347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 s="1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t="s">
        <v>551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 s="1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t="s">
        <v>486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 s="1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t="s">
        <v>201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 s="1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t="s">
        <v>517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 s="1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t="s">
        <v>519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 s="1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 s="1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552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 s="1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t="s">
        <v>550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 s="1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469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 s="1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t="s">
        <v>553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 s="1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 s="1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t="s">
        <v>554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 s="1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t="s">
        <v>397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 s="1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t="s">
        <v>208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 s="1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t="s">
        <v>355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 s="1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t="s">
        <v>369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 s="1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t="s">
        <v>292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 s="1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 s="1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 s="1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t="s">
        <v>173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 s="1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t="s">
        <v>486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 s="1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t="s">
        <v>379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 s="1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t="s">
        <v>495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 s="1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t="s">
        <v>555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 s="1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 s="1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t="s">
        <v>269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 s="1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t="s">
        <v>208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 s="1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t="s">
        <v>423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 s="1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t="s">
        <v>556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 s="1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t="s">
        <v>557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 s="1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t="s">
        <v>544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 s="1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t="s">
        <v>558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 s="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 s="1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t="s">
        <v>529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 s="1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t="s">
        <v>153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 s="1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t="s">
        <v>545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 s="1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t="s">
        <v>186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 s="1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 s="1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 s="1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 s="1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t="s">
        <v>262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 s="1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t="s">
        <v>418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 s="1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t="s">
        <v>559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 s="1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t="s">
        <v>535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 s="1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199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 s="1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 s="1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t="s">
        <v>560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 s="1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 s="1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 s="1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t="s">
        <v>561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 s="1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t="s">
        <v>399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 s="1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 s="1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t="s">
        <v>468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 s="1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t="s">
        <v>562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 s="1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 s="1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275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 s="1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t="s">
        <v>185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 s="1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t="s">
        <v>563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 s="1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t="s">
        <v>243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 s="1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t="s">
        <v>456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 s="1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t="s">
        <v>564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 s="1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 s="1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t="s">
        <v>288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 s="1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t="s">
        <v>557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 s="1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t="s">
        <v>237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 s="1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t="s">
        <v>359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 s="1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t="s">
        <v>516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 s="1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 s="1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t="s">
        <v>211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 s="1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 s="1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t="s">
        <v>541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 s="1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565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 s="1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t="s">
        <v>209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 s="1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t="s">
        <v>546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 s="1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t="s">
        <v>462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 s="1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t="s">
        <v>296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 s="1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t="s">
        <v>154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 s="1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t="s">
        <v>217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 s="1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t="s">
        <v>183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 s="1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t="s">
        <v>566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 s="1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t="s">
        <v>450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 s="1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t="s">
        <v>371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 s="1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t="s">
        <v>526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 s="1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t="s">
        <v>362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 s="1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t="s">
        <v>381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 s="1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t="s">
        <v>567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 s="1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 s="1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t="s">
        <v>433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 s="1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 s="1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t="s">
        <v>175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 s="1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t="s">
        <v>171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 s="1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t="s">
        <v>188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 s="1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 s="1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272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 s="1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t="s">
        <v>317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 s="1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t="s">
        <v>162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 s="1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t="s">
        <v>568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 s="1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 s="1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t="s">
        <v>514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 s="1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t="s">
        <v>273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 s="1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t="s">
        <v>569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 s="1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t="s">
        <v>570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 s="1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t="s">
        <v>272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 s="1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t="s">
        <v>504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 s="1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t="s">
        <v>571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 s="1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t="s">
        <v>284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 s="1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t="s">
        <v>321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 s="1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t="s">
        <v>471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 s="1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t="s">
        <v>406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 s="1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t="s">
        <v>572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 s="1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t="s">
        <v>266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 s="1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t="s">
        <v>366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 s="1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 s="1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t="s">
        <v>311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 s="1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t="s">
        <v>238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 s="1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t="s">
        <v>191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 s="1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t="s">
        <v>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 s="1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t="s">
        <v>574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 s="1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 s="1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t="s">
        <v>529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 s="1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t="s">
        <v>414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 s="1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t="s">
        <v>181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 s="1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t="s">
        <v>513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 s="1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t="s">
        <v>575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 s="1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t="s">
        <v>413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 s="1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t="s">
        <v>285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 s="1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t="s">
        <v>449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 s="1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t="s">
        <v>501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 s="1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t="s">
        <v>158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 s="1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t="s">
        <v>325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 s="1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t="s">
        <v>576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 s="1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t="s">
        <v>577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 s="1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t="s">
        <v>169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 s="1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t="s">
        <v>329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 s="1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 s="1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 s="1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578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 s="1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t="s">
        <v>579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 s="1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t="s">
        <v>443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 s="1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 s="1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t="s">
        <v>164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 s="1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t="s">
        <v>271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 s="1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t="s">
        <v>353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 s="1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t="s">
        <v>505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 s="1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t="s">
        <v>370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 s="1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 s="1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t="s">
        <v>299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 s="1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506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 s="1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 s="1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t="s">
        <v>580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 s="1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t="s">
        <v>581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 s="1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 s="1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 s="1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 s="1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t="s">
        <v>419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 s="1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 s="1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t="s">
        <v>568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 s="1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 s="1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 s="1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t="s">
        <v>444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 s="1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 s="1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t="s">
        <v>582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 s="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243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 s="1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t="s">
        <v>583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 s="1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 s="1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 s="1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t="s">
        <v>242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 s="1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t="s">
        <v>422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 s="1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 s="1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t="s">
        <v>584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 s="1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t="s">
        <v>190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 s="1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t="s">
        <v>504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 s="1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t="s">
        <v>332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 s="1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 s="1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 s="1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t="s">
        <v>585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 s="1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t="s">
        <v>162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 s="1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t="s">
        <v>564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 s="1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t="s">
        <v>586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 s="1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t="s">
        <v>288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 s="1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t="s">
        <v>162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 s="1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t="s">
        <v>468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 s="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188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 s="1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t="s">
        <v>449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 s="1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t="s">
        <v>272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 s="1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t="s">
        <v>587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 s="1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t="s">
        <v>588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 s="1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t="s">
        <v>263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 s="1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t="s">
        <v>177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 s="1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 s="1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 s="1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t="s">
        <v>344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 s="1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t="s">
        <v>589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 s="1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t="s">
        <v>270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 s="1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t="s">
        <v>219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 s="1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t="s">
        <v>509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 s="1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t="s">
        <v>581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 s="1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 s="1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t="s">
        <v>191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 s="1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t="s">
        <v>352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 s="1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t="s">
        <v>467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 s="1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t="s">
        <v>298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 s="1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t="s">
        <v>590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 s="1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t="s">
        <v>309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 s="1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t="s">
        <v>317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 s="1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t="s">
        <v>591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 s="1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449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 s="1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 s="1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 s="1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t="s">
        <v>497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 s="1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t="s">
        <v>209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 s="1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t="s">
        <v>345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 s="1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t="s">
        <v>193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 s="1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t="s">
        <v>294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 s="1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t="s">
        <v>536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 s="1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 s="1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 s="1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t="s">
        <v>568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 s="1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 s="1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 s="1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t="s">
        <v>506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 s="1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t="s">
        <v>224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 s="1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t="s">
        <v>247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 s="1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t="s">
        <v>273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 s="1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t="s">
        <v>421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 s="1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t="s">
        <v>241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 s="1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 s="1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t="s">
        <v>266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 s="1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592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 s="1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205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 s="1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 s="1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t="s">
        <v>329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 s="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509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 s="1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t="s">
        <v>162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 s="1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t="s">
        <v>364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 s="1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t="s">
        <v>430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 s="1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t="s">
        <v>563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 s="1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t="s">
        <v>364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 s="1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t="s">
        <v>593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 s="1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t="s">
        <v>273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 s="1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t="s">
        <v>245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 s="1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t="s">
        <v>303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 s="1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 s="1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t="s">
        <v>398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 s="1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t="s">
        <v>535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 s="1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t="s">
        <v>285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 s="1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t="s">
        <v>594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 s="1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t="s">
        <v>492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 s="1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t="s">
        <v>525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 s="1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t="s">
        <v>260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 s="1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t="s">
        <v>230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 s="1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 s="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310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 s="1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t="s">
        <v>278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 s="1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t="s">
        <v>490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 s="1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 s="1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t="s">
        <v>591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 s="1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t="s">
        <v>371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 s="1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t="s">
        <v>372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 s="1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t="s">
        <v>381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 s="1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 s="1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t="s">
        <v>574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 s="1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 s="1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t="s">
        <v>595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 s="1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 s="1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t="s">
        <v>341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 s="1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t="s">
        <v>169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 s="1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t="s">
        <v>461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 s="1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t="s">
        <v>596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 s="1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t="s">
        <v>450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 s="1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 s="1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 s="1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t="s">
        <v>393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 s="1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t="s">
        <v>154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 s="1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t="s">
        <v>247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 s="1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t="s">
        <v>597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 s="1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t="s">
        <v>583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 s="1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t="s">
        <v>367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 s="1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t="s">
        <v>311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 s="1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t="s">
        <v>380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 s="1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t="s">
        <v>598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 s="1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t="s">
        <v>171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 s="1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t="s">
        <v>163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 s="1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t="s">
        <v>557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 s="1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t="s">
        <v>560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 s="1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587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 s="1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t="s">
        <v>159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 s="1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t="s">
        <v>599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 s="1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t="s">
        <v>600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 s="1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t="s">
        <v>458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 s="1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t="s">
        <v>454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 s="1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t="s">
        <v>441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 s="1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t="s">
        <v>310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 s="1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t="s">
        <v>484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 s="1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t="s">
        <v>322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 s="1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t="s">
        <v>601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 s="1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t="s">
        <v>584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 s="1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t="s">
        <v>173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 s="1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t="s">
        <v>251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 s="1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t="s">
        <v>249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 s="1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t="s">
        <v>602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 s="1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t="s">
        <v>547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 s="1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t="s">
        <v>323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 s="1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t="s">
        <v>603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 s="1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234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 s="1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t="s">
        <v>210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 s="1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t="s">
        <v>302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 s="1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t="s">
        <v>604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 s="1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t="s">
        <v>409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 s="1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t="s">
        <v>551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 s="1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t="s">
        <v>605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 s="1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t="s">
        <v>606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 s="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607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 s="1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t="s">
        <v>246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 s="1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t="s">
        <v>545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 s="1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t="s">
        <v>552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 s="1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t="s">
        <v>575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 s="1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t="s">
        <v>608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 s="1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t="s">
        <v>592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 s="1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t="s">
        <v>295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 s="1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t="s">
        <v>185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 s="1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t="s">
        <v>532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 s="1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t="s">
        <v>609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 s="1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t="s">
        <v>610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 s="1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t="s">
        <v>249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 s="1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t="s">
        <v>611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 s="1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t="s">
        <v>412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 s="1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 s="1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 s="1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t="s">
        <v>612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 s="1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t="s">
        <v>613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 s="1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t="s">
        <v>282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 s="1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t="s">
        <v>614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 s="1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 s="1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 s="1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t="s">
        <v>407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 s="1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t="s">
        <v>615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 s="1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t="s">
        <v>409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 s="1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t="s">
        <v>516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 s="1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t="s">
        <v>423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 s="1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t="s">
        <v>456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 s="1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t="s">
        <v>499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 s="1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t="s">
        <v>537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 s="1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t="s">
        <v>165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 s="1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 s="1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t="s">
        <v>399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 s="1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282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 s="1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t="s">
        <v>322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 s="1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t="s">
        <v>429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 s="1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 s="1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t="s">
        <v>591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 s="1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t="s">
        <v>325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 s="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 s="1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t="s">
        <v>504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 s="1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t="s">
        <v>599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 s="1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t="s">
        <v>546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 s="1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t="s">
        <v>359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 s="1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t="s">
        <v>225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 s="1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 s="1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t="s">
        <v>547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 s="1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 s="1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t="s">
        <v>215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 s="1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t="s">
        <v>581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 s="1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t="s">
        <v>337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 s="1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452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 s="1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 s="1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t="s">
        <v>392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 s="1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 s="1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 s="1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 s="1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 s="1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196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 s="1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t="s">
        <v>230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 s="1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t="s">
        <v>616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 s="1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 s="1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t="s">
        <v>195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 s="1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t="s">
        <v>617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 s="1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t="s">
        <v>462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 s="1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 s="1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t="s">
        <v>290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 s="1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t="s">
        <v>347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 s="1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t="s">
        <v>231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 s="1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t="s">
        <v>197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 s="1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472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 s="1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t="s">
        <v>453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 s="1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t="s">
        <v>436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 s="1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t="s">
        <v>466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 s="1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t="s">
        <v>300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 s="1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t="s">
        <v>618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 s="1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375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 s="1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t="s">
        <v>171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 s="1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t="s">
        <v>416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 s="1">
        <v>10475</v>
      </c>
      <c r="B1381">
        <v>1970</v>
      </c>
      <c r="C1381" t="s">
        <v>39</v>
      </c>
      <c r="D1381" t="s">
        <v>33</v>
      </c>
      <c r="F1381">
        <v>0</v>
      </c>
      <c r="G1381">
        <v>1</v>
      </c>
      <c r="H1381" t="s">
        <v>361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 s="1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t="s">
        <v>619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 s="1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 s="1">
        <v>2902</v>
      </c>
      <c r="B1384">
        <v>1958</v>
      </c>
      <c r="C1384" t="s">
        <v>29</v>
      </c>
      <c r="D1384" t="s">
        <v>33</v>
      </c>
      <c r="F1384">
        <v>1</v>
      </c>
      <c r="G1384">
        <v>1</v>
      </c>
      <c r="H1384" t="s">
        <v>615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 s="1">
        <v>4345</v>
      </c>
      <c r="B1385">
        <v>1964</v>
      </c>
      <c r="C1385" t="s">
        <v>53</v>
      </c>
      <c r="D1385" t="s">
        <v>30</v>
      </c>
      <c r="F1385">
        <v>1</v>
      </c>
      <c r="G1385">
        <v>1</v>
      </c>
      <c r="H1385" t="s">
        <v>588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 s="1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t="s">
        <v>620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 s="1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t="s">
        <v>267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 s="1">
        <v>3769</v>
      </c>
      <c r="B1388">
        <v>1972</v>
      </c>
      <c r="C1388" t="s">
        <v>36</v>
      </c>
      <c r="D1388" t="s">
        <v>33</v>
      </c>
      <c r="F1388">
        <v>1</v>
      </c>
      <c r="G1388">
        <v>0</v>
      </c>
      <c r="H1388" t="s">
        <v>621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 s="1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t="s">
        <v>171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 s="1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t="s">
        <v>184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 s="1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t="s">
        <v>492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 s="1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t="s">
        <v>480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 s="1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t="s">
        <v>490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 s="1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t="s">
        <v>621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 s="1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 s="1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t="s">
        <v>622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 s="1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t="s">
        <v>563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 s="1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 s="1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t="s">
        <v>411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 s="1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 s="1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t="s">
        <v>623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 s="1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t="s">
        <v>555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 s="1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t="s">
        <v>409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 s="1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t="s">
        <v>179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 s="1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624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 s="1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 s="1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t="s">
        <v>481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 s="1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 s="1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t="s">
        <v>280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 s="1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t="s">
        <v>220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 s="1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t="s">
        <v>442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 s="1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t="s">
        <v>312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 s="1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t="s">
        <v>238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 s="1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t="s">
        <v>552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 s="1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t="s">
        <v>188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 s="1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292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 s="1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t="s">
        <v>542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 s="1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t="s">
        <v>577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 s="1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t="s">
        <v>625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 s="1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t="s">
        <v>626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 s="1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t="s">
        <v>365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 s="1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t="s">
        <v>217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 s="1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t="s">
        <v>564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 s="1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t="s">
        <v>320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 s="1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t="s">
        <v>224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 s="1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t="s">
        <v>314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 s="1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t="s">
        <v>213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 s="1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t="s">
        <v>344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 s="1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t="s">
        <v>240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 s="1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 s="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t="s">
        <v>545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 s="1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 s="1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t="s">
        <v>589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 s="1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t="s">
        <v>464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 s="1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404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 s="1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t="s">
        <v>377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 s="1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t="s">
        <v>213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 s="1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t="s">
        <v>555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 s="1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t="s">
        <v>536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 s="1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t="s">
        <v>562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 s="1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t="s">
        <v>516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 s="1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t="s">
        <v>433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 s="1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t="s">
        <v>627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 s="1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t="s">
        <v>615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 s="1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t="s">
        <v>628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 s="1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 s="1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t="s">
        <v>629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 s="1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t="s">
        <v>184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 s="1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t="s">
        <v>318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 s="1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t="s">
        <v>551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 s="1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 s="1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t="s">
        <v>630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 s="1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t="s">
        <v>334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 s="1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177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 s="1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 s="1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t="s">
        <v>631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 s="1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 s="1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t="s">
        <v>243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 s="1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t="s">
        <v>271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 s="1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t="s">
        <v>632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 s="1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 s="1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t="s">
        <v>379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 s="1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t="s">
        <v>432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 s="1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t="s">
        <v>274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 s="1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t="s">
        <v>400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 s="1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t="s">
        <v>168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 s="1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 s="1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t="s">
        <v>292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 s="1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t="s">
        <v>486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 s="1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t="s">
        <v>633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 s="1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t="s">
        <v>577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 s="1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t="s">
        <v>350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 s="1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t="s">
        <v>358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 s="1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277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 s="1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t="s">
        <v>634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 s="1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t="s">
        <v>635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 s="1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t="s">
        <v>636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 s="1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t="s">
        <v>249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 s="1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 s="1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t="s">
        <v>233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 s="1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 s="1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t="s">
        <v>361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 s="1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 s="1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t="s">
        <v>325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 s="1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t="s">
        <v>352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 s="1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t="s">
        <v>637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 s="1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t="s">
        <v>300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 s="1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t="s">
        <v>550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 s="1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t="s">
        <v>613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 s="1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t="s">
        <v>287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 s="1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t="s">
        <v>304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 s="1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t="s">
        <v>605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 s="1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t="s">
        <v>212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 s="1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t="s">
        <v>520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 s="1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t="s">
        <v>612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 s="1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t="s">
        <v>531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 s="1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t="s">
        <v>379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 s="1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 s="1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t="s">
        <v>638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 s="1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 s="1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t="s">
        <v>270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 s="1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t="s">
        <v>259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 s="1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t="s">
        <v>589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 s="1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t="s">
        <v>236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 s="1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t="s">
        <v>173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 s="1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t="s">
        <v>360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 s="1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t="s">
        <v>255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 s="1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t="s">
        <v>420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 s="1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t="s">
        <v>386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 s="1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t="s">
        <v>551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 s="1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t="s">
        <v>602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 s="1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t="s">
        <v>348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 s="1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t="s">
        <v>322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 s="1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t="s">
        <v>639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 s="1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t="s">
        <v>640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 s="1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t="s">
        <v>641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 s="1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t="s">
        <v>281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 s="1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t="s">
        <v>405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 s="1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 s="1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t="s">
        <v>576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 s="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t="s">
        <v>320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 s="1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t="s">
        <v>279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 s="1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t="s">
        <v>498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 s="1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t="s">
        <v>411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 s="1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t="s">
        <v>343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 s="1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344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 s="1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t="s">
        <v>642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 s="1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t="s">
        <v>345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 s="1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t="s">
        <v>434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 s="1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 s="1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t="s">
        <v>534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 s="1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t="s">
        <v>434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 s="1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t="s">
        <v>226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 s="1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t="s">
        <v>643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 s="1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t="s">
        <v>322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 s="1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 s="1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t="s">
        <v>211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 s="1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353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 s="1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t="s">
        <v>302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 s="1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t="s">
        <v>244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 s="1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t="s">
        <v>271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 s="1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t="s">
        <v>644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 s="1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t="s">
        <v>645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 s="1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t="s">
        <v>519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 s="1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t="s">
        <v>498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 s="1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 s="1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t="s">
        <v>270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 s="1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 s="1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 s="1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t="s">
        <v>440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 s="1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t="s">
        <v>482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 s="1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t="s">
        <v>273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 s="1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 s="1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t="s">
        <v>646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 s="1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t="s">
        <v>185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 s="1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t="s">
        <v>396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 s="1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t="s">
        <v>488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 s="1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t="s">
        <v>161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 s="1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t="s">
        <v>324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 s="1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t="s">
        <v>338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 s="1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t="s">
        <v>584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 s="1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t="s">
        <v>516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 s="1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t="s">
        <v>511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 s="1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t="s">
        <v>608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 s="1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t="s">
        <v>400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 s="1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t="s">
        <v>305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 s="1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509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 s="1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t="s">
        <v>618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 s="1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t="s">
        <v>647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 s="1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t="s">
        <v>331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 s="1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t="s">
        <v>369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 s="1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 s="1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 s="1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t="s">
        <v>589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 s="1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t="s">
        <v>233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 s="1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t="s">
        <v>236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 s="1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t="s">
        <v>482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 s="1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 s="1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 s="1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t="s">
        <v>349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 s="1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t="s">
        <v>338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 s="1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t="s">
        <v>533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 s="1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t="s">
        <v>531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 s="1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t="s">
        <v>387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 s="1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t="s">
        <v>562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 s="1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 s="1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t="s">
        <v>154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 s="1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t="s">
        <v>376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 s="1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t="s">
        <v>473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 s="1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t="s">
        <v>474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 s="1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t="s">
        <v>578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 s="1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t="s">
        <v>298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 s="1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t="s">
        <v>516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 s="1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 s="1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t="s">
        <v>611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 s="1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t="s">
        <v>345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 s="1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t="s">
        <v>160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 s="1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t="s">
        <v>402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 s="1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629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 s="1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t="s">
        <v>312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 s="1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t="s">
        <v>648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 s="1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t="s">
        <v>649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 s="1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t="s">
        <v>616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 s="1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t="s">
        <v>650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 s="1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t="s">
        <v>501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 s="1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t="s">
        <v>621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 s="1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t="s">
        <v>520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 s="1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t="s">
        <v>577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 s="1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t="s">
        <v>337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 s="1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t="s">
        <v>487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 s="1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t="s">
        <v>217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 s="1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t="s">
        <v>301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 s="1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t="s">
        <v>395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 s="1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568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 s="1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t="s">
        <v>541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 s="1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t="s">
        <v>196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 s="1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t="s">
        <v>651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 s="1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t="s">
        <v>241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 s="1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372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 s="1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t="s">
        <v>392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 s="1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 s="1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t="s">
        <v>171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 s="1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t="s">
        <v>271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 s="1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t="s">
        <v>363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 s="1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577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 s="1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t="s">
        <v>338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 s="1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 s="1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t="s">
        <v>220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 s="1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 s="1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t="s">
        <v>652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 s="1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t="s">
        <v>551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 s="1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t="s">
        <v>215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 s="1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t="s">
        <v>452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 s="1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t="s">
        <v>574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 s="1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t="s">
        <v>254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 s="1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t="s">
        <v>311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 s="1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t="s">
        <v>653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 s="1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 s="1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 s="1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t="s">
        <v>529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 s="1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t="s">
        <v>649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 s="1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 s="1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t="s">
        <v>654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 s="1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t="s">
        <v>308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 s="1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 s="1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t="s">
        <v>492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 s="1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t="s">
        <v>495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 s="1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t="s">
        <v>499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 s="1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305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 s="1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t="s">
        <v>538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 s="1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t="s">
        <v>431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 s="1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t="s">
        <v>561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 s="1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360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 s="1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 s="1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 s="1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t="s">
        <v>609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 s="1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 s="1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t="s">
        <v>544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 s="1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t="s">
        <v>348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 s="1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t="s">
        <v>655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 s="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656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 s="1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t="s">
        <v>358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 s="1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t="s">
        <v>226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 s="1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t="s">
        <v>504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 s="1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t="s">
        <v>657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 s="1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t="s">
        <v>294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 s="1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t="s">
        <v>254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 s="1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t="s">
        <v>171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 s="1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t="s">
        <v>196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 s="1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t="s">
        <v>444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 s="1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t="s">
        <v>341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 s="1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t="s">
        <v>563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 s="1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t="s">
        <v>603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 s="1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t="s">
        <v>287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 s="1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t="s">
        <v>279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 s="1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 s="1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t="s">
        <v>405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 s="1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t="s">
        <v>658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 s="1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t="s">
        <v>649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 s="1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t="s">
        <v>636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 s="1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t="s">
        <v>533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 s="1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t="s">
        <v>311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 s="1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t="s">
        <v>659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 s="1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 s="1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t="s">
        <v>660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 s="1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t="s">
        <v>551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 s="1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t="s">
        <v>661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 s="1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 s="1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 s="1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t="s">
        <v>569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 s="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388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 s="1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388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 s="1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t="s">
        <v>583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 s="1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 s="1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 s="1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t="s">
        <v>662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 s="1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t="s">
        <v>586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 s="1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t="s">
        <v>663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 s="1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t="s">
        <v>664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 s="1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t="s">
        <v>242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 s="1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t="s">
        <v>276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 s="1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 s="1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 s="1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339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 s="1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t="s">
        <v>517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 s="1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t="s">
        <v>665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 s="1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t="s">
        <v>654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 s="1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t="s">
        <v>601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 s="1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t="s">
        <v>638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 s="1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t="s">
        <v>460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 s="1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t="s">
        <v>176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 s="1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t="s">
        <v>248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 s="1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t="s">
        <v>158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 s="1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t="s">
        <v>666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 s="1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 s="1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t="s">
        <v>504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 s="1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 s="1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238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 s="1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 s="1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t="s">
        <v>603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 s="1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t="s">
        <v>639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 s="1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t="s">
        <v>270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 s="1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t="s">
        <v>175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 s="1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508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 s="1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t="s">
        <v>667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 s="1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t="s">
        <v>365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 s="1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t="s">
        <v>423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 s="1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 s="1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t="s">
        <v>668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 s="1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t="s">
        <v>645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 s="1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t="s">
        <v>630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 s="1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 s="1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t="s">
        <v>314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 s="1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t="s">
        <v>277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 s="1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t="s">
        <v>471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 s="1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t="s">
        <v>436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 s="1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 s="1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164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 s="1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t="s">
        <v>669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 s="1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 s="1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t="s">
        <v>531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 s="1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t="s">
        <v>164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 s="1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t="s">
        <v>328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 s="1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 s="1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t="s">
        <v>577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 s="1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t="s">
        <v>440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 s="1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t="s">
        <v>426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 s="1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t="s">
        <v>642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 s="1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t="s">
        <v>187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 s="1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t="s">
        <v>468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 s="1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t="s">
        <v>300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 s="1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t="s">
        <v>244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 s="1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t="s">
        <v>183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 s="1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t="s">
        <v>590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 s="1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t="s">
        <v>636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 s="1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t="s">
        <v>306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 s="1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 s="1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t="s">
        <v>412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 s="1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t="s">
        <v>670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 s="1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 s="1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t="s">
        <v>498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 s="1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 s="1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t="s">
        <v>151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 s="1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t="s">
        <v>523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 s="1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t="s">
        <v>171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 s="1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t="s">
        <v>351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 s="1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t="s">
        <v>221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 s="1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t="s">
        <v>305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 s="1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 s="1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t="s">
        <v>189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 s="1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t="s">
        <v>390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 s="1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t="s">
        <v>275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 s="1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t="s">
        <v>328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 s="1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t="s">
        <v>211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 s="1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t="s">
        <v>602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 s="1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t="s">
        <v>210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 s="1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 s="1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 s="1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t="s">
        <v>243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 s="1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t="s">
        <v>354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 s="1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t="s">
        <v>418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 s="1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t="s">
        <v>671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 s="1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t="s">
        <v>449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 s="1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t="s">
        <v>548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 s="1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t="s">
        <v>235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 s="1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t="s">
        <v>454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 s="1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 s="1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t="s">
        <v>441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 s="1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t="s">
        <v>202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 s="1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t="s">
        <v>631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 s="1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 s="1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t="s">
        <v>518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 s="1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t="s">
        <v>604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 s="1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t="s">
        <v>303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 s="1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t="s">
        <v>411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 s="1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t="s">
        <v>180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 s="1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t="s">
        <v>324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 s="1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t="s">
        <v>490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 s="1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t="s">
        <v>227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 s="1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t="s">
        <v>672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 s="1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t="s">
        <v>492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 s="1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t="s">
        <v>473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 s="1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t="s">
        <v>548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 s="1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t="s">
        <v>593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 s="1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225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 s="1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t="s">
        <v>657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 s="1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t="s">
        <v>602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 s="1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t="s">
        <v>302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 s="1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t="s">
        <v>246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 s="1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 s="1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t="s">
        <v>173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 s="1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t="s">
        <v>466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 s="1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t="s">
        <v>635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 s="1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 s="1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t="s">
        <v>440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 s="1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t="s">
        <v>516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 s="1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t="s">
        <v>584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 s="1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t="s">
        <v>187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 s="1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388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 s="1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t="s">
        <v>215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 s="1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t="s">
        <v>189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 s="1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t="s">
        <v>557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 s="1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t="s">
        <v>480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 s="1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t="s">
        <v>230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 s="1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t="s">
        <v>541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 s="1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 s="1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t="s">
        <v>488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 s="1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t="s">
        <v>467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 s="1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t="s">
        <v>398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 s="1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t="s">
        <v>586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 s="1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t="s">
        <v>247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 s="1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t="s">
        <v>311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 s="1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t="s">
        <v>494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 s="1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t="s">
        <v>630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 s="1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t="s">
        <v>255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 s="1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t="s">
        <v>294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 s="1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t="s">
        <v>623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 s="1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 s="1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t="s">
        <v>512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 s="1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t="s">
        <v>450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 s="1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t="s">
        <v>242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 s="1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t="s">
        <v>259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 s="1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t="s">
        <v>279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 s="1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t="s">
        <v>562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 s="1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t="s">
        <v>215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 s="1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t="s">
        <v>302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 s="1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t="s">
        <v>183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 s="1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t="s">
        <v>656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 s="1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t="s">
        <v>168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 s="1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 s="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t="s">
        <v>348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 s="1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t="s">
        <v>275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 s="1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t="s">
        <v>673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 s="1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 s="1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t="s">
        <v>287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 s="1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 s="1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t="s">
        <v>674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 s="1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t="s">
        <v>317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 s="1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 s="1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t="s">
        <v>430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 s="1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t="s">
        <v>275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 s="1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t="s">
        <v>386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 s="1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t="s">
        <v>675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 s="1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t="s">
        <v>406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 s="1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t="s">
        <v>203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 s="1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 s="1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t="s">
        <v>676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 s="1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t="s">
        <v>677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 s="1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 s="1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t="s">
        <v>546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 s="1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t="s">
        <v>438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 s="1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t="s">
        <v>176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 s="1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 s="1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227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 s="1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 s="1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t="s">
        <v>556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 s="1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t="s">
        <v>411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 s="1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t="s">
        <v>638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 s="1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 s="1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 s="1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t="s">
        <v>678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 s="1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t="s">
        <v>253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 s="1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 s="1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t="s">
        <v>423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 s="1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t="s">
        <v>673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 s="1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t="s">
        <v>154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 s="1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 s="1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 s="1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t="s">
        <v>290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 s="1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 s="1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t="s">
        <v>600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 s="1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 s="1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t="s">
        <v>492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 s="1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t="s">
        <v>679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 s="1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t="s">
        <v>483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 s="1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525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 s="1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t="s">
        <v>390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 s="1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t="s">
        <v>193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 s="1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t="s">
        <v>200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 s="1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 s="1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t="s">
        <v>264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 s="1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t="s">
        <v>192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 s="1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274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 s="1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t="s">
        <v>210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 s="1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t="s">
        <v>463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 s="1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t="s">
        <v>479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 s="1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 s="1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t="s">
        <v>677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 s="1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t="s">
        <v>680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 s="1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t="s">
        <v>159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 s="1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t="s">
        <v>194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 s="1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t="s">
        <v>591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 s="1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 s="1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t="s">
        <v>548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 s="1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t="s">
        <v>162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 s="1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t="s">
        <v>536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 s="1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385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 s="1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t="s">
        <v>359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 s="1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 s="1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 s="1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t="s">
        <v>681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 s="1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t="s">
        <v>550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 s="1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 s="1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585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 s="1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t="s">
        <v>612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 s="1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t="s">
        <v>263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 s="1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t="s">
        <v>603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 s="1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t="s">
        <v>249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 s="1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 s="1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 s="1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 s="1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t="s">
        <v>339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 s="1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t="s">
        <v>187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 s="1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t="s">
        <v>407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 s="1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t="s">
        <v>214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 s="1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 s="1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t="s">
        <v>442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 s="1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t="s">
        <v>151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 s="1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 s="1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 s="1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t="s">
        <v>215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 s="1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t="s">
        <v>682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 s="1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t="s">
        <v>683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 s="1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t="s">
        <v>481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 s="1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t="s">
        <v>648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 s="1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 s="1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t="s">
        <v>258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 s="1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t="s">
        <v>204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 s="1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t="s">
        <v>684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 s="1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209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 s="1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t="s">
        <v>636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 s="1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t="s">
        <v>168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 s="1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t="s">
        <v>399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 s="1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 s="1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t="s">
        <v>624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 s="1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 s="1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t="s">
        <v>570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 s="1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t="s">
        <v>659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 s="1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245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 s="1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366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 s="1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t="s">
        <v>431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 s="1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 s="1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t="s">
        <v>420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 s="1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t="s">
        <v>248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 s="1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t="s">
        <v>436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 s="1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t="s">
        <v>174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 s="1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t="s">
        <v>685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 s="1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t="s">
        <v>333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 s="1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t="s">
        <v>686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 s="1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t="s">
        <v>664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 s="1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t="s">
        <v>533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 s="1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t="s">
        <v>516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 s="1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661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 s="1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t="s">
        <v>454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 s="1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t="s">
        <v>687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 s="1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t="s">
        <v>290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 s="1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t="s">
        <v>651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 s="1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t="s">
        <v>637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 s="1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t="s">
        <v>576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 s="1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t="s">
        <v>688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 s="1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t="s">
        <v>190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 s="1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t="s">
        <v>664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 s="1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t="s">
        <v>275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 s="1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t="s">
        <v>632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 s="1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t="s">
        <v>542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 s="1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t="s">
        <v>636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 s="1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 s="1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t="s">
        <v>258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 s="1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t="s">
        <v>321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 s="1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t="s">
        <v>452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 s="1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t="s">
        <v>274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 s="1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t="s">
        <v>458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 s="1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 s="1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t="s">
        <v>170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 s="1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t="s">
        <v>422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 s="1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t="s">
        <v>539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 s="1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t="s">
        <v>185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 s="1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 s="1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t="s">
        <v>306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 s="1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t="s">
        <v>577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 s="1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t="s">
        <v>460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 s="1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t="s">
        <v>645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 s="1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t="s">
        <v>578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 s="1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t="s">
        <v>442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 s="1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t="s">
        <v>689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 s="1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t="s">
        <v>399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 s="1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t="s">
        <v>290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 s="1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t="s">
        <v>530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 s="1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t="s">
        <v>292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 s="1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t="s">
        <v>429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 s="1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t="s">
        <v>621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 s="1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t="s">
        <v>238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 s="1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516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 s="1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t="s">
        <v>354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 s="1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t="s">
        <v>679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 s="1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t="s">
        <v>481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 s="1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t="s">
        <v>482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 s="1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t="s">
        <v>413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 s="1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t="s">
        <v>421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 s="1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 s="1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t="s">
        <v>363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 s="1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t="s">
        <v>632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 s="1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 s="1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 s="1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t="s">
        <v>680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 s="1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t="s">
        <v>359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 s="1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t="s">
        <v>625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 s="1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 s="1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t="s">
        <v>170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 s="1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 s="1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t="s">
        <v>478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 s="1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t="s">
        <v>151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 s="1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t="s">
        <v>669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 s="1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t="s">
        <v>582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 s="1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 s="1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t="s">
        <v>187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 s="1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t="s">
        <v>597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 s="1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t="s">
        <v>466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 s="1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t="s">
        <v>650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 s="1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 s="1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t="s">
        <v>598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 s="1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t="s">
        <v>358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 s="1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363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 s="1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t="s">
        <v>310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 s="1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 s="1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 s="1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690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 s="1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t="s">
        <v>334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 s="1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t="s">
        <v>294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 s="1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236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 s="1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t="s">
        <v>265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 s="1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t="s">
        <v>691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 s="1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364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 s="1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t="s">
        <v>550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 s="1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t="s">
        <v>572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 s="1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t="s">
        <v>252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 s="1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159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 s="1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t="s">
        <v>620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 s="1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t="s">
        <v>584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 s="1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t="s">
        <v>219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 s="1">
        <v>7187</v>
      </c>
      <c r="B2061">
        <v>1969</v>
      </c>
      <c r="C2061" t="s">
        <v>39</v>
      </c>
      <c r="D2061" t="s">
        <v>33</v>
      </c>
      <c r="F2061">
        <v>1</v>
      </c>
      <c r="G2061">
        <v>1</v>
      </c>
      <c r="H2061" t="s">
        <v>538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 s="1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t="s">
        <v>265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 s="1">
        <v>1612</v>
      </c>
      <c r="B2063">
        <v>1981</v>
      </c>
      <c r="C2063" t="s">
        <v>36</v>
      </c>
      <c r="D2063" t="s">
        <v>30</v>
      </c>
      <c r="F2063">
        <v>1</v>
      </c>
      <c r="G2063">
        <v>0</v>
      </c>
      <c r="H2063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 s="1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t="s">
        <v>551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 s="1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t="s">
        <v>271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 s="1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t="s">
        <v>396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 s="1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 s="1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t="s">
        <v>677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 s="1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 s="1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t="s">
        <v>345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 s="1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t="s">
        <v>427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 s="1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t="s">
        <v>518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 s="1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t="s">
        <v>453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 s="1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t="s">
        <v>488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 s="1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t="s">
        <v>296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 s="1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t="s">
        <v>153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 s="1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t="s">
        <v>411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 s="1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t="s">
        <v>288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 s="1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t="s">
        <v>692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 s="1">
        <v>5079</v>
      </c>
      <c r="B2080">
        <v>1971</v>
      </c>
      <c r="C2080" t="s">
        <v>29</v>
      </c>
      <c r="D2080" t="s">
        <v>37</v>
      </c>
      <c r="F2080">
        <v>1</v>
      </c>
      <c r="G2080">
        <v>1</v>
      </c>
      <c r="H2080" t="s">
        <v>300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 s="1">
        <v>10339</v>
      </c>
      <c r="B2081">
        <v>1954</v>
      </c>
      <c r="C2081" t="s">
        <v>39</v>
      </c>
      <c r="D2081" t="s">
        <v>33</v>
      </c>
      <c r="F2081">
        <v>0</v>
      </c>
      <c r="G2081">
        <v>1</v>
      </c>
      <c r="H208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 s="1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t="s">
        <v>587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 s="1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461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 s="1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t="s">
        <v>386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 s="1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t="s">
        <v>270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 s="1">
        <v>5250</v>
      </c>
      <c r="B2086">
        <v>1943</v>
      </c>
      <c r="C2086" t="s">
        <v>39</v>
      </c>
      <c r="D2086" t="s">
        <v>71</v>
      </c>
      <c r="F2086">
        <v>0</v>
      </c>
      <c r="G2086">
        <v>0</v>
      </c>
      <c r="H2086" t="s">
        <v>377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 s="1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t="s">
        <v>359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 s="1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t="s">
        <v>693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 s="1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t="s">
        <v>200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 s="1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t="s">
        <v>230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 s="1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t="s">
        <v>412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 s="1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t="s">
        <v>215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 s="1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t="s">
        <v>452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 s="1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t="s">
        <v>492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 s="1">
        <v>7734</v>
      </c>
      <c r="B2095">
        <v>1993</v>
      </c>
      <c r="C2095" t="s">
        <v>29</v>
      </c>
      <c r="D2095" t="s">
        <v>702</v>
      </c>
      <c r="E2095">
        <v>79244</v>
      </c>
      <c r="F2095">
        <v>0</v>
      </c>
      <c r="G2095">
        <v>0</v>
      </c>
      <c r="H2095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 s="1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 s="1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 s="1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 s="1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544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 s="1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t="s">
        <v>522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 s="1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t="s">
        <v>519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 s="1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t="s">
        <v>255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 s="1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 s="1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t="s">
        <v>694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 s="1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t="s">
        <v>606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 s="1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t="s">
        <v>491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 s="1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 s="1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t="s">
        <v>542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 s="1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t="s">
        <v>693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 s="1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t="s">
        <v>602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 s="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694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 s="1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t="s">
        <v>695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 s="1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t="s">
        <v>696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 s="1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t="s">
        <v>465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 s="1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t="s">
        <v>697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 s="1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t="s">
        <v>655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 s="1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t="s">
        <v>229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 s="1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t="s">
        <v>611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 s="1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 s="1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t="s">
        <v>474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 s="1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t="s">
        <v>160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 s="1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t="s">
        <v>183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 s="1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t="s">
        <v>698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 s="1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t="s">
        <v>326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 s="1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t="s">
        <v>450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 s="1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t="s">
        <v>684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 s="1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t="s">
        <v>230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 s="1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t="s">
        <v>191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 s="1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t="s">
        <v>337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 s="1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t="s">
        <v>615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 s="1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t="s">
        <v>397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 s="1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 s="1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t="s">
        <v>332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 s="1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 s="1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t="s">
        <v>283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 s="1">
        <v>4369</v>
      </c>
      <c r="B2136">
        <v>1957</v>
      </c>
      <c r="C2136" t="s">
        <v>39</v>
      </c>
      <c r="D2136" t="s">
        <v>702</v>
      </c>
      <c r="E2136">
        <v>65487</v>
      </c>
      <c r="F2136">
        <v>0</v>
      </c>
      <c r="G2136">
        <v>0</v>
      </c>
      <c r="H2136" t="s">
        <v>657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 s="1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t="s">
        <v>257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 s="1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 s="1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 s="1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t="s">
        <v>176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 s="1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t="s">
        <v>383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 s="1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t="s">
        <v>181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 s="1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t="s">
        <v>533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 s="1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 s="1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t="s">
        <v>686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 s="1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659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 s="1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 s="1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t="s">
        <v>661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 s="1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t="s">
        <v>574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 s="1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t="s">
        <v>583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 s="1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t="s">
        <v>273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 s="1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t="s">
        <v>675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 s="1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t="s">
        <v>694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 s="1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t="s">
        <v>365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 s="1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 s="1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t="s">
        <v>649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 s="1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 s="1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t="s">
        <v>472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 s="1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t="s">
        <v>188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 s="1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t="s">
        <v>471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 s="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479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 s="1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t="s">
        <v>699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 s="1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t="s">
        <v>526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 s="1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t="s">
        <v>418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 s="1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t="s">
        <v>279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 s="1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t="s">
        <v>233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 s="1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t="s">
        <v>605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 s="1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t="s">
        <v>516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 s="1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t="s">
        <v>369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 s="1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t="s">
        <v>404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 s="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 s="1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t="s">
        <v>276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 s="1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t="s">
        <v>592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 s="1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t="s">
        <v>659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 s="1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t="s">
        <v>282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 s="1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t="s">
        <v>438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 s="1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t="s">
        <v>287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 s="1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t="s">
        <v>309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 s="1">
        <v>492</v>
      </c>
      <c r="B2179">
        <v>1973</v>
      </c>
      <c r="C2179" t="s">
        <v>36</v>
      </c>
      <c r="D2179" t="s">
        <v>703</v>
      </c>
      <c r="E2179">
        <v>48432</v>
      </c>
      <c r="F2179">
        <v>0</v>
      </c>
      <c r="G2179">
        <v>1</v>
      </c>
      <c r="H2179" t="s">
        <v>160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 s="1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t="s">
        <v>668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 s="1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t="s">
        <v>463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 s="1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t="s">
        <v>511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 s="1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t="s">
        <v>269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 s="1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t="s">
        <v>562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 s="1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t="s">
        <v>238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 s="1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t="s">
        <v>210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 s="1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t="s">
        <v>296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 s="1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t="s">
        <v>682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 s="1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 s="1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t="s">
        <v>657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 s="1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t="s">
        <v>626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 s="1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t="s">
        <v>575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 s="1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t="s">
        <v>428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 s="1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t="s">
        <v>637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 s="1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t="s">
        <v>524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 s="1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t="s">
        <v>478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 s="1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t="s">
        <v>512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 s="1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179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 s="1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 s="1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t="s">
        <v>503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 s="1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t="s">
        <v>252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 s="1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t="s">
        <v>518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 s="1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249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 s="1">
        <v>11133</v>
      </c>
      <c r="B2204">
        <v>1973</v>
      </c>
      <c r="C2204" t="s">
        <v>36</v>
      </c>
      <c r="D2204" t="s">
        <v>703</v>
      </c>
      <c r="E2204">
        <v>48432</v>
      </c>
      <c r="F2204">
        <v>0</v>
      </c>
      <c r="G2204">
        <v>1</v>
      </c>
      <c r="H2204" t="s">
        <v>160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 s="1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 s="1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t="s">
        <v>359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 s="1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253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 s="1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 s="1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 s="1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 s="1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t="s">
        <v>678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 s="1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t="s">
        <v>292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 s="1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t="s">
        <v>680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 s="1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t="s">
        <v>566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 s="1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 s="1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t="s">
        <v>563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 s="1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t="s">
        <v>700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 s="1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t="s">
        <v>594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 s="1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t="s">
        <v>345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 s="1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t="s">
        <v>254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 s="1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t="s">
        <v>548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 s="1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t="s">
        <v>669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 s="1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 s="1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t="s">
        <v>446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 s="1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 s="1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t="s">
        <v>701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 s="1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t="s">
        <v>616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 s="1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t="s">
        <v>534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 s="1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t="s">
        <v>300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 s="1">
        <v>8720</v>
      </c>
      <c r="B2230">
        <v>1978</v>
      </c>
      <c r="C2230" t="s">
        <v>53</v>
      </c>
      <c r="D2230" t="s">
        <v>33</v>
      </c>
      <c r="F2230">
        <v>0</v>
      </c>
      <c r="G2230">
        <v>0</v>
      </c>
      <c r="H2230" t="s">
        <v>396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 s="1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t="s">
        <v>372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 s="1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316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 s="1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t="s">
        <v>315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 s="1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236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 s="1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t="s">
        <v>695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 s="1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t="s">
        <v>172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 s="1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t="s">
        <v>264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 s="1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t="s">
        <v>613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 s="1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t="s">
        <v>479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 s="1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 s="1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t="s">
        <v>253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autoFilter ref="E1:E224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868E-A3BE-4E7B-A7A9-02D35830185E}">
  <dimension ref="A1:AC2241"/>
  <sheetViews>
    <sheetView zoomScale="70" zoomScaleNormal="70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6.6640625" bestFit="1" customWidth="1"/>
    <col min="2" max="2" width="12.21875" customWidth="1"/>
    <col min="3" max="3" width="11.44140625" customWidth="1"/>
    <col min="4" max="4" width="15.5546875" customWidth="1"/>
    <col min="5" max="5" width="9.33203125" customWidth="1"/>
    <col min="6" max="6" width="10.77734375" customWidth="1"/>
    <col min="7" max="7" width="12.33203125" customWidth="1"/>
    <col min="8" max="8" width="14.5546875" customWidth="1"/>
    <col min="9" max="9" width="10" customWidth="1"/>
    <col min="10" max="10" width="12.109375" customWidth="1"/>
    <col min="11" max="11" width="11.5546875" customWidth="1"/>
    <col min="12" max="12" width="18.88671875" customWidth="1"/>
    <col min="13" max="13" width="17.6640625" customWidth="1"/>
    <col min="14" max="14" width="19.88671875" customWidth="1"/>
    <col min="15" max="15" width="15.5546875" customWidth="1"/>
    <col min="16" max="16" width="20.44140625" customWidth="1"/>
    <col min="17" max="17" width="20" customWidth="1"/>
    <col min="18" max="18" width="22.21875" customWidth="1"/>
    <col min="19" max="19" width="20.6640625" customWidth="1"/>
    <col min="20" max="20" width="21.88671875" customWidth="1"/>
    <col min="21" max="25" width="16.21875" customWidth="1"/>
    <col min="26" max="26" width="11.109375" customWidth="1"/>
    <col min="27" max="27" width="15.44140625" customWidth="1"/>
    <col min="28" max="28" width="12.5546875" customWidth="1"/>
    <col min="29" max="29" width="11.21875" customWidth="1"/>
  </cols>
  <sheetData>
    <row r="1" spans="1:29" x14ac:dyDescent="0.3">
      <c r="A1" s="9" t="s">
        <v>0</v>
      </c>
      <c r="B1" s="10" t="s">
        <v>1</v>
      </c>
      <c r="C1" s="10" t="s">
        <v>2</v>
      </c>
      <c r="D1" s="10" t="s">
        <v>3</v>
      </c>
      <c r="E1" s="12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</row>
    <row r="2" spans="1:29" x14ac:dyDescent="0.3">
      <c r="A2" s="8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 s="8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 s="8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 s="8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 s="8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 s="8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 s="8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 s="8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 s="8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 s="8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 s="8">
        <v>1994</v>
      </c>
      <c r="B12">
        <v>1983</v>
      </c>
      <c r="C12" t="s">
        <v>29</v>
      </c>
      <c r="D12" t="s">
        <v>37</v>
      </c>
      <c r="E12" s="22">
        <v>51381.5</v>
      </c>
      <c r="F12">
        <v>1</v>
      </c>
      <c r="G12">
        <v>0</v>
      </c>
      <c r="H12" s="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 s="8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s="2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 s="8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s="2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 s="8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s="2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 s="8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 s="8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s="2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 s="8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s="2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 s="8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s="2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 s="8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s="2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 s="8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s="2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 s="8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 s="8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s="2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 s="8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s="2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 s="8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s="2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 s="8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s="2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 s="8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2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 s="8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s="2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 s="8">
        <v>5255</v>
      </c>
      <c r="B29">
        <v>1986</v>
      </c>
      <c r="C29" t="s">
        <v>29</v>
      </c>
      <c r="D29" t="s">
        <v>30</v>
      </c>
      <c r="E29">
        <v>51381.5</v>
      </c>
      <c r="F29">
        <v>1</v>
      </c>
      <c r="G29">
        <v>0</v>
      </c>
      <c r="H29" s="2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 s="8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s="2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 s="8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s="2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 s="8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s="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 s="8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s="2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 s="8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 s="8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s="2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 s="8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s="2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 s="8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s="2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 s="8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s="2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 s="8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s="2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 s="8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s="2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 s="8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s="2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 s="8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s="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 s="8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s="2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 s="8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s="2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 s="8">
        <v>7281</v>
      </c>
      <c r="B45">
        <v>1959</v>
      </c>
      <c r="C45" t="s">
        <v>36</v>
      </c>
      <c r="D45" t="s">
        <v>30</v>
      </c>
      <c r="E45">
        <v>51381.5</v>
      </c>
      <c r="F45">
        <v>0</v>
      </c>
      <c r="G45">
        <v>0</v>
      </c>
      <c r="H45" s="2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 s="8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s="2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 s="8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2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 s="8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s="2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 s="8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s="2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 s="8">
        <v>7244</v>
      </c>
      <c r="B50">
        <v>1951</v>
      </c>
      <c r="C50" t="s">
        <v>29</v>
      </c>
      <c r="D50" t="s">
        <v>30</v>
      </c>
      <c r="E50">
        <v>51381.5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 s="8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s="2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 s="8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s="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 s="8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s="2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 s="8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2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 s="8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s="2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 s="8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s="2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 s="8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s="2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 s="8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s="2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 s="8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2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 s="8">
        <v>8557</v>
      </c>
      <c r="B60">
        <v>1982</v>
      </c>
      <c r="C60" t="s">
        <v>29</v>
      </c>
      <c r="D60" t="s">
        <v>30</v>
      </c>
      <c r="E60">
        <v>51381.5</v>
      </c>
      <c r="F60">
        <v>1</v>
      </c>
      <c r="G60">
        <v>0</v>
      </c>
      <c r="H60" s="2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 s="8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 s="8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s="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 s="8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s="2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 s="8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2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 s="8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s="2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 s="8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s="2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 s="8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s="2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 s="8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s="2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 s="8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s="2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 s="8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s="2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 s="8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s="2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 s="8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s="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 s="8">
        <v>10629</v>
      </c>
      <c r="B73">
        <v>1973</v>
      </c>
      <c r="C73" t="s">
        <v>53</v>
      </c>
      <c r="D73" t="s">
        <v>37</v>
      </c>
      <c r="E73">
        <v>51381.5</v>
      </c>
      <c r="F73">
        <v>1</v>
      </c>
      <c r="G73">
        <v>0</v>
      </c>
      <c r="H73" s="2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 s="8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s="2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 s="8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s="2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 s="8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s="2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 s="8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s="2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 s="8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s="2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 s="8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2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 s="8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s="2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 s="8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s="2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 s="8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 s="8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s="2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 s="8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s="2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 s="8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s="2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 s="8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s="2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 s="8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s="2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 s="8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s="2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 s="8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2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 s="8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s="2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 s="8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s="2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 s="8">
        <v>8996</v>
      </c>
      <c r="B92">
        <v>1957</v>
      </c>
      <c r="C92" t="s">
        <v>36</v>
      </c>
      <c r="D92" t="s">
        <v>37</v>
      </c>
      <c r="E92">
        <v>51381.5</v>
      </c>
      <c r="F92">
        <v>2</v>
      </c>
      <c r="G92">
        <v>1</v>
      </c>
      <c r="H92" s="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 s="8">
        <v>9235</v>
      </c>
      <c r="B93">
        <v>1957</v>
      </c>
      <c r="C93" t="s">
        <v>29</v>
      </c>
      <c r="D93" t="s">
        <v>30</v>
      </c>
      <c r="E93">
        <v>51381.5</v>
      </c>
      <c r="F93">
        <v>1</v>
      </c>
      <c r="G93">
        <v>1</v>
      </c>
      <c r="H93" s="2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 s="8">
        <v>5798</v>
      </c>
      <c r="B94">
        <v>1973</v>
      </c>
      <c r="C94" t="s">
        <v>39</v>
      </c>
      <c r="D94" t="s">
        <v>33</v>
      </c>
      <c r="E94">
        <v>51381.5</v>
      </c>
      <c r="F94">
        <v>0</v>
      </c>
      <c r="G94">
        <v>0</v>
      </c>
      <c r="H94" s="2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 s="8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s="2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 s="8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s="2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 s="8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s="2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 s="8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s="2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 s="8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s="2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 s="8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s="2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 s="8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s="2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 s="8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s="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 s="8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s="2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 s="8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s="2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 s="8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s="2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 s="8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s="2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 s="8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s="2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 s="8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s="2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 s="8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 s="8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2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 s="8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s="2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 s="8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s="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 s="8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s="2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 s="8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s="2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 s="8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2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 s="8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 s="8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2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 s="8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s="2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 s="8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s="2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 s="8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s="2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 s="8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s="2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 s="8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s="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 s="8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s="2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 s="8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s="2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 s="8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s="2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 s="8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2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 s="8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s="2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 s="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2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 s="8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s="2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 s="8">
        <v>8268</v>
      </c>
      <c r="B130">
        <v>1961</v>
      </c>
      <c r="C130" t="s">
        <v>36</v>
      </c>
      <c r="D130" t="s">
        <v>37</v>
      </c>
      <c r="E130">
        <v>51381.5</v>
      </c>
      <c r="F130">
        <v>0</v>
      </c>
      <c r="G130">
        <v>1</v>
      </c>
      <c r="H130" s="2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 s="8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s="2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 s="8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s="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 s="8">
        <v>433</v>
      </c>
      <c r="B133">
        <v>1958</v>
      </c>
      <c r="C133" t="s">
        <v>39</v>
      </c>
      <c r="D133" t="s">
        <v>704</v>
      </c>
      <c r="E133">
        <v>61331</v>
      </c>
      <c r="F133">
        <v>1</v>
      </c>
      <c r="G133">
        <v>1</v>
      </c>
      <c r="H133" s="2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 s="8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s="2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 s="8">
        <v>1295</v>
      </c>
      <c r="B135">
        <v>1963</v>
      </c>
      <c r="C135" t="s">
        <v>29</v>
      </c>
      <c r="D135" t="s">
        <v>37</v>
      </c>
      <c r="E135">
        <v>51381.5</v>
      </c>
      <c r="F135">
        <v>0</v>
      </c>
      <c r="G135">
        <v>1</v>
      </c>
      <c r="H135" s="2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 s="8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s="2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 s="8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s="2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 s="8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 s="8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 s="8">
        <v>7660</v>
      </c>
      <c r="B140">
        <v>1973</v>
      </c>
      <c r="C140" t="s">
        <v>36</v>
      </c>
      <c r="D140" t="s">
        <v>704</v>
      </c>
      <c r="E140">
        <v>35860</v>
      </c>
      <c r="F140">
        <v>1</v>
      </c>
      <c r="G140">
        <v>1</v>
      </c>
      <c r="H140" s="2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 s="8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s="2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 s="8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s="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 s="8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s="2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 s="8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s="2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 s="8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s="2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 s="8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s="2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 s="8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s="2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 s="8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s="2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 s="8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s="2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 s="8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s="2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 s="8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s="2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 s="8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s="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 s="8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s="2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 s="8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s="2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 s="8">
        <v>92</v>
      </c>
      <c r="B155">
        <v>1988</v>
      </c>
      <c r="C155" t="s">
        <v>29</v>
      </c>
      <c r="D155" t="s">
        <v>704</v>
      </c>
      <c r="E155">
        <v>34176</v>
      </c>
      <c r="F155">
        <v>1</v>
      </c>
      <c r="G155">
        <v>0</v>
      </c>
      <c r="H155" s="2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 s="8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s="2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 s="8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s="2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 s="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2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 s="8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2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 s="8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s="2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 s="8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2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 s="8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s="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 s="8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s="2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 s="8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s="2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 s="8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s="2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 s="8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s="2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 s="8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s="2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 s="8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s="2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 s="8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s="2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 s="8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2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 s="8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s="2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 s="8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s="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 s="8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s="2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 s="8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s="2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 s="8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s="2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 s="8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 s="8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s="2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 s="8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s="2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 s="8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s="2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 s="8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s="2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 s="8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s="2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 s="8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s="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 s="8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s="2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 s="8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s="2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 s="8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s="2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 s="8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s="2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 s="8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s="2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 s="8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s="2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 s="8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s="2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 s="8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s="2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 s="8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s="2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 s="8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 s="8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s="2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 s="8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s="2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 s="8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s="2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 s="8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s="2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 s="8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s="2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 s="8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s="2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 s="8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s="2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 s="8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s="2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 s="8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s="2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 s="8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s="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 s="8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2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 s="8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s="2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 s="8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s="2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 s="8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s="2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 s="8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s="2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 s="8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s="2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 s="8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s="2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 s="8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s="2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 s="8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s="2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 s="8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s="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 s="8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s="2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 s="8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s="2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 s="8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s="2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 s="8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s="2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 s="8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s="2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 s="8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s="2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 s="8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s="2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 s="8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s="2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 s="8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s="2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 s="8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s="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 s="8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s="2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 s="8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s="2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 s="8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s="2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 s="8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s="2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 s="8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s="2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 s="8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s="2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 s="8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s="2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 s="8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 s="8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s="2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 s="8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 s="8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s="2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 s="8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s="2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 s="8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2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 s="8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s="2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 s="8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s="2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 s="8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s="2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 s="8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s="2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 s="8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2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 s="8">
        <v>11004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s="2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 s="8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s="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 s="8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s="2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 s="8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2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 s="8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s="2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 s="8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s="2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 s="8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s="2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 s="8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s="2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 s="8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s="2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 s="8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s="2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 s="8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s="2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 s="8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s="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 s="8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2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 s="8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s="2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 s="8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s="2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 s="8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s="2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 s="8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s="2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 s="8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s="2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 s="8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2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 s="8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2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 s="8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s="2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 s="8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 s="8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s="2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 s="8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s="2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 s="8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s="2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 s="8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s="2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 s="8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s="2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 s="8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s="2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 s="8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s="2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 s="8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s="2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 s="8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s="2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 s="8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 s="8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s="2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 s="8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s="2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 s="8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s="2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 s="8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s="2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 s="8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s="2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 s="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2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 s="8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s="2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 s="8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s="2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 s="8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s="2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 s="8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s="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 s="8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s="2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 s="8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s="2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 s="8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s="2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 s="8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s="2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 s="8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s="2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 s="8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s="2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 s="8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s="2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 s="8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s="2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 s="8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s="2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 s="8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s="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 s="8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s="2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 s="8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s="2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 s="8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s="2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 s="8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s="2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 s="8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s="2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 s="8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s="2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 s="8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s="2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 s="8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2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 s="8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s="2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 s="8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s="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 s="8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s="2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 s="8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s="2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 s="8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2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 s="8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s="2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 s="8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s="2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 s="8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s="2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 s="8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2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 s="8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s="2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 s="8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s="2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 s="8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s="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 s="8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s="2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 s="8">
        <v>2437</v>
      </c>
      <c r="B314">
        <v>1989</v>
      </c>
      <c r="C314" t="s">
        <v>29</v>
      </c>
      <c r="D314" t="s">
        <v>37</v>
      </c>
      <c r="E314">
        <v>51381.5</v>
      </c>
      <c r="F314">
        <v>0</v>
      </c>
      <c r="G314">
        <v>0</v>
      </c>
      <c r="H314" s="2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 s="8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s="2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 s="8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s="2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 s="8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s="2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 s="8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s="2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 s="8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2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 s="8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s="2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 s="8">
        <v>2863</v>
      </c>
      <c r="B321">
        <v>1970</v>
      </c>
      <c r="C321" t="s">
        <v>29</v>
      </c>
      <c r="D321" t="s">
        <v>30</v>
      </c>
      <c r="E321">
        <v>51381.5</v>
      </c>
      <c r="F321">
        <v>1</v>
      </c>
      <c r="G321">
        <v>2</v>
      </c>
      <c r="H321" s="2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 s="8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s="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 s="8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s="2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 s="8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s="2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 s="8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s="2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 s="8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2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 s="8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s="2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 s="8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s="2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 s="8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s="2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 s="8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s="2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 s="8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s="2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 s="8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 s="8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s="2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 s="8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s="2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 s="8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 s="8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s="2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 s="8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s="2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 s="8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s="2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 s="8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s="2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 s="8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 s="8">
        <v>1150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s="2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 s="8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 s="8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s="2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 s="8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s="2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 s="8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s="2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 s="8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s="2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 s="8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s="2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 s="8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s="2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 s="8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s="2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 s="8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s="2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 s="8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s="2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 s="8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s="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 s="8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s="2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 s="8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s="2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 s="8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s="2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 s="8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s="2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 s="8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2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 s="8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s="2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 s="8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 s="8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s="2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 s="8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s="2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 s="8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s="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 s="8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s="2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 s="8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s="2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 s="8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s="2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 s="8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s="2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 s="8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2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 s="8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s="2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 s="8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s="2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 s="8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s="2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 s="8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s="2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 s="8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s="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 s="8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s="2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 s="8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s="2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 s="8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 s="8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s="2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 s="8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s="2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 s="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2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 s="8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2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 s="8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s="2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 s="8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2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 s="8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s="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 s="8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s="2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 s="8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 s="8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s="2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 s="8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s="2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 s="8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2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 s="8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s="2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 s="8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s="2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 s="8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s="2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 s="8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s="2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 s="8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s="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 s="8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s="2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 s="8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2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 s="8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s="2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 s="8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s="2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 s="8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s="2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 s="8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s="2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 s="8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s="2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 s="8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2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 s="8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s="2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 s="8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s="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 s="8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s="2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 s="8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2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 s="8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s="2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 s="8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s="2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 s="8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s="2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 s="8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s="2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 s="8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s="2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 s="8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 s="8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s="2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 s="8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s="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 s="8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s="2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 s="8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s="2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 s="8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2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 s="8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s="2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 s="8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s="2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 s="8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s="2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 s="8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s="2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 s="8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2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 s="8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s="2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 s="8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s="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 s="8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s="2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 s="8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s="2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 s="8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s="2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 s="8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s="2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 s="8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s="2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 s="8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s="2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 s="8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s="2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 s="8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s="2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 s="8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s="2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 s="8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s="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 s="8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s="2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 s="8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s="2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 s="8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s="2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 s="8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 s="8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s="2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 s="8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s="2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 s="8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s="2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 s="8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s="2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 s="8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s="2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 s="8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s="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 s="8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s="2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 s="8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s="2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 s="8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2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 s="8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s="2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 s="8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s="2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 s="8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s="2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 s="8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2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 s="8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s="2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 s="8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s="2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 s="8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 s="8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s="2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 s="8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s="2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 s="8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s="2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 s="8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s="2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 s="8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s="2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 s="8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s="2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 s="8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s="2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 s="8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s="2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 s="8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s="2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 s="8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 s="8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s="2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 s="8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s="2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 s="8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s="2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 s="8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s="2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 s="8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 s="8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s="2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 s="8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s="2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 s="8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s="2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 s="8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s="2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 s="8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s="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 s="8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 s="8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s="2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 s="8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s="2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 s="8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2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 s="8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s="2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 s="8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s="2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 s="8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s="2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 s="8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s="2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 s="8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s="2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 s="8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s="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 s="8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s="2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 s="8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2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 s="8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s="2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 s="8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 s="8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s="2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 s="8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s="2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 s="8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s="2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 s="8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s="2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 s="8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s="2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 s="8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s="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 s="8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s="2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 s="8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s="2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 s="8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s="2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 s="8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s="2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 s="8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s="2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 s="8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s="2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 s="8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s="2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 s="8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s="2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 s="8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s="2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 s="8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s="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 s="8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s="2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 s="8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s="2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 s="8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s="2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 s="8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s="2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 s="8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s="2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 s="8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s="2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 s="8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2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 s="8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s="2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 s="8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s="2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 s="8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s="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 s="8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2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 s="8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s="2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 s="8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s="2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 s="8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s="2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 s="8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s="2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 s="8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s="2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 s="8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2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 s="8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s="2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 s="8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s="2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 s="8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s="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 s="8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s="2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 s="8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s="2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 s="8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s="2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 s="8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s="2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 s="8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s="2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 s="8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s="2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 s="8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s="2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 s="8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2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 s="8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s="2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 s="8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s="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 s="8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2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 s="8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s="2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 s="8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s="2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 s="8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2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 s="8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s="2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 s="8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s="2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 s="8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s="2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 s="8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 s="8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s="2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 s="8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s="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 s="8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s="2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 s="8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s="2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 s="8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s="2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 s="8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s="2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 s="8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s="2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 s="8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s="2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 s="8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s="2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 s="8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s="2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 s="8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s="2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 s="8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s="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 s="8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2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 s="8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s="2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 s="8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s="2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 s="8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s="2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 s="8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s="2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 s="8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s="2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 s="8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s="2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 s="8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s="2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 s="8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s="2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 s="8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 s="8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2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 s="8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s="2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 s="8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s="2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 s="8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s="2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 s="8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s="2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 s="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2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 s="8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s="2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 s="8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2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 s="8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s="2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 s="8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s="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 s="8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s="2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 s="8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s="2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 s="8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s="2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 s="8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s="2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 s="8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s="2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 s="8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s="2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 s="8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s="2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 s="8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s="2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 s="8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s="2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 s="8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s="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 s="8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s="2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 s="8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s="2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 s="8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s="2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 s="8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s="2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 s="8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s="2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 s="8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s="2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 s="8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s="2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 s="8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s="2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 s="8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s="2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 s="8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s="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 s="8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 s="8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s="2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 s="8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s="2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 s="8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s="2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 s="8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s="2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 s="8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s="2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 s="8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s="2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 s="8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s="2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 s="8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s="2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 s="8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 s="8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s="2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 s="8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2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 s="8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s="2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 s="8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s="2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 s="8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s="2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 s="8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s="2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 s="8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s="2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 s="8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s="2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 s="8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s="2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 s="8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s="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 s="8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s="2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 s="8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s="2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 s="8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s="2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 s="8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s="2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 s="8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s="2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 s="8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s="2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 s="8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s="2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 s="8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s="2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 s="8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s="2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 s="8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s="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 s="8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2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 s="8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s="2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 s="8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s="2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 s="8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s="2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 s="8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s="2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 s="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2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 s="8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s="2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 s="8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s="2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 s="8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2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 s="8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s="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 s="8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s="2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 s="8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s="2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 s="8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s="2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 s="8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2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 s="8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s="2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 s="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2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 s="8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s="2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 s="8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s="2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 s="8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s="2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 s="8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s="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 s="8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s="2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 s="8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s="2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 s="8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2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 s="8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s="2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 s="8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s="2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 s="8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s="2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 s="8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s="2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 s="8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s="2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 s="8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s="2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 s="8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s="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 s="8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s="2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 s="8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s="2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 s="8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s="2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 s="8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s="2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 s="8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s="2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 s="8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s="2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 s="8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s="2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 s="8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s="2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 s="8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s="2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 s="8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s="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 s="8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s="2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 s="8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s="2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 s="8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s="2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 s="8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 s="8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s="2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 s="8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s="2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 s="8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s="2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 s="8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s="2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 s="8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s="2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 s="8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s="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 s="8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s="2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 s="8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s="2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 s="8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s="2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 s="8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s="2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 s="8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s="2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 s="8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s="2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 s="8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2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 s="8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s="2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 s="8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s="2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 s="8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s="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 s="8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s="2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 s="8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s="2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 s="8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s="2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 s="8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s="2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 s="8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s="2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 s="8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s="2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 s="8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s="2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 s="8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s="2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 s="8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s="2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 s="8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s="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 s="8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2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 s="8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s="2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 s="8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s="2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 s="8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s="2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 s="8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s="2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 s="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2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 s="8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s="2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 s="8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2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 s="8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s="2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 s="8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s="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 s="8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s="2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 s="8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s="2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 s="8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s="2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 s="8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s="2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 s="8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s="2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 s="8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s="2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 s="8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s="2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 s="8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s="2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 s="8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s="2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 s="8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s="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 s="8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s="2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 s="8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2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 s="8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s="2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 s="8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s="2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 s="8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s="2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 s="8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s="2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 s="8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s="2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 s="8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s="2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 s="8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2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 s="8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s="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 s="8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s="2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 s="8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s="2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 s="8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s="2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 s="8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s="2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 s="8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s="2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 s="8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s="2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 s="8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s="2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 s="8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s="2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 s="8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s="2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 s="8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s="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 s="8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s="2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 s="8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s="2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 s="8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s="2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 s="8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s="2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 s="8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s="2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 s="8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s="2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 s="8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s="2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 s="8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s="2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 s="8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s="2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 s="8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s="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 s="8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s="2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 s="8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 s="8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s="2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 s="8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s="2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 s="8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s="2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 s="8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s="2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 s="8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2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 s="8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2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 s="8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s="2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 s="8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s="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 s="8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s="2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 s="8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s="2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 s="8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s="2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 s="8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s="2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 s="8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s="2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 s="8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s="2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 s="8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s="2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 s="8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s="2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 s="8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s="2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 s="8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s="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 s="8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2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 s="8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s="2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 s="8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s="2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 s="8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2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 s="8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s="2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 s="8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s="2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 s="8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s="2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 s="8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s="2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 s="8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s="2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 s="8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s="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 s="8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 s="8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2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 s="8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s="2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 s="8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s="2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 s="8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s="2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 s="8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s="2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 s="8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s="2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 s="8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s="2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 s="8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2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 s="8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s="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 s="8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s="2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 s="8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2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 s="8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s="2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 s="8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s="2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 s="8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s="2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 s="8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s="2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 s="8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s="2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 s="8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s="2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 s="8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s="2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 s="8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s="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 s="8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s="2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 s="8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2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 s="8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s="2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 s="8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2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 s="8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s="2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 s="8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s="2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 s="8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s="2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 s="8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s="2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 s="8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s="2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 s="8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s="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 s="8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s="2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 s="8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s="2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 s="8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s="2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 s="8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s="2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 s="8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s="2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 s="8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s="2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 s="8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s="2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 s="8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s="2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 s="8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2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 s="8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s="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 s="8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2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 s="8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2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 s="8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s="2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 s="8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s="2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 s="8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s="2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 s="8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s="2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 s="8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2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 s="8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s="2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 s="8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s="2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 s="8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 s="8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 s="8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2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 s="8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s="2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 s="8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s="2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 s="8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s="2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 s="8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s="2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 s="8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s="2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 s="8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s="2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 s="8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s="2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 s="8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s="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 s="8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2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 s="8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 s="8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s="2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 s="8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s="2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 s="8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s="2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 s="8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s="2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 s="8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s="2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 s="8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s="2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 s="8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2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 s="8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s="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 s="8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s="2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 s="8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2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 s="8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s="2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 s="8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s="2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 s="8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s="2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 s="8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s="2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 s="8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s="2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 s="8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2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 s="8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s="2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 s="8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 s="8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s="2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 s="8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s="2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 s="8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s="2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 s="8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s="2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 s="8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2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 s="8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s="2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 s="8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s="2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 s="8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s="2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 s="8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 s="8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s="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 s="8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s="2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 s="8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s="2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 s="8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s="2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 s="8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s="2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 s="8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s="2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 s="8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s="2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 s="8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s="2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 s="8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s="2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 s="8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s="2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 s="8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s="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 s="8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2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 s="8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s="2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 s="8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 s="8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s="2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 s="8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s="2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 s="8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s="2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 s="8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s="2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 s="8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s="2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 s="8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s="2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 s="8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 s="8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s="2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 s="8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s="2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 s="8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s="2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 s="8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s="2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 s="8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s="2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 s="8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s="2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 s="8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s="2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 s="8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s="2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 s="8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s="2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 s="8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s="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 s="8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s="2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 s="8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s="2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 s="8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s="2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 s="8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s="2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 s="8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 s="8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s="2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 s="8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s="2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 s="8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s="2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 s="8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s="2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 s="8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s="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 s="8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s="2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 s="8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s="2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 s="8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s="2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 s="8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s="2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 s="8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2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 s="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2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 s="8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s="2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 s="8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s="2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 s="8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s="2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 s="8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s="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 s="8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s="2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 s="8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s="2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 s="8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s="2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 s="8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2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 s="8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s="2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 s="8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s="2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 s="8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s="2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 s="8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s="2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 s="8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s="2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 s="8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s="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 s="8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2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 s="8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s="2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 s="8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s="2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 s="8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s="2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 s="8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s="2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 s="8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s="2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 s="8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s="2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 s="8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2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 s="8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s="2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 s="8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s="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 s="8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2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 s="8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s="2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 s="8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s="2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 s="8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2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 s="8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s="2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 s="8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s="2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 s="8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s="2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 s="8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2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 s="8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s="2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 s="8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s="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 s="8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s="2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 s="8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s="2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 s="8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s="2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 s="8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s="2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 s="8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s="2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 s="8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s="2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 s="8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s="2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 s="8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s="2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 s="8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s="2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 s="8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s="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 s="8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s="2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 s="8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s="2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 s="8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s="2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 s="8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s="2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 s="8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s="2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 s="8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s="2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 s="8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2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 s="8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s="2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 s="8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s="2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 s="8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s="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 s="8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s="2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 s="8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s="2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 s="8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s="2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 s="8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s="2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 s="8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s="2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 s="8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s="2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 s="8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s="2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 s="8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s="2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 s="8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s="2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 s="8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 s="8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s="2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 s="8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s="2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 s="8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s="2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 s="8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s="2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 s="8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s="2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 s="8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s="2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 s="8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s="2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 s="8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s="2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 s="8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s="2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 s="8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s="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 s="8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s="2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 s="8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s="2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 s="8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s="2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 s="8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s="2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 s="8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s="2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 s="8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s="2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 s="8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s="2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 s="8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s="2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 s="8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s="2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 s="8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s="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 s="8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s="2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 s="8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s="2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 s="8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2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 s="8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s="2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 s="8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2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 s="8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s="2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 s="8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s="2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 s="8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s="2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 s="8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s="2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 s="8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s="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 s="8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s="2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 s="8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s="2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 s="8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s="2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 s="8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s="2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 s="8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 s="8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s="2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 s="8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s="2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 s="8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s="2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 s="8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s="2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 s="8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s="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 s="8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s="2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 s="8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2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 s="8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s="2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 s="8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s="2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 s="8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s="2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 s="8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s="2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 s="8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s="2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 s="8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s="2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 s="8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2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 s="8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s="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 s="8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 s="8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s="2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 s="8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s="2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 s="8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s="2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 s="8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s="2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 s="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2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 s="8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s="2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 s="8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s="2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 s="8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s="2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 s="8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s="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 s="8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2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 s="8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s="2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 s="8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s="2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 s="8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s="2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 s="8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2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 s="8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s="2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 s="8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s="2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 s="8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s="2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 s="8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s="2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 s="8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s="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 s="8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s="2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 s="8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2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 s="8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s="2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 s="8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s="2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 s="8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s="2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 s="8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s="2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 s="8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s="2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 s="8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s="2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 s="8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s="2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 s="8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s="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 s="8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s="2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 s="8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s="2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 s="8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s="2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 s="8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s="2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 s="8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2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 s="8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s="2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 s="8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s="2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 s="8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2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 s="8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s="2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 s="8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s="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 s="8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s="2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 s="8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s="2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 s="8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s="2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 s="8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s="2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 s="8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s="2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 s="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2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 s="8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s="2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 s="8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s="2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 s="8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s="2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 s="8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s="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 s="8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s="2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 s="8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s="2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 s="8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s="2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 s="8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s="2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 s="8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s="2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 s="8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s="2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 s="8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s="2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 s="8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s="2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 s="8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s="2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 s="8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 s="8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s="2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 s="8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s="2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 s="8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s="2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 s="8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 s="8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s="2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 s="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2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 s="8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s="2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 s="8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s="2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 s="8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s="2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 s="8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s="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 s="8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s="2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 s="8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s="2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 s="8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s="2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 s="8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s="2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 s="8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2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 s="8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s="2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 s="8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s="2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 s="8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s="2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 s="8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s="2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 s="8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s="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 s="8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s="2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 s="8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s="2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 s="8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s="2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 s="8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s="2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 s="8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s="2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 s="8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s="2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 s="8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s="2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 s="8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s="2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 s="8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s="2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 s="8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s="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 s="8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s="2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 s="8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s="2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 s="8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s="2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 s="8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s="2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 s="8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s="2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 s="8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s="2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 s="8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s="2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 s="8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s="2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 s="8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s="2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 s="8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 s="8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s="2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 s="8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s="2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 s="8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2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 s="8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s="2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 s="8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s="2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 s="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 s="8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s="2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 s="8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s="2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 s="8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s="2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 s="8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s="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 s="8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 s="8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s="2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 s="8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s="2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 s="8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2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 s="8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s="2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 s="8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s="2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 s="8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s="2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 s="8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s="2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 s="8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 s="8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s="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 s="8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s="2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 s="8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s="2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 s="8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s="2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 s="8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s="2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 s="8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s="2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 s="8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s="2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 s="8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s="2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 s="8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s="2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 s="8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2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 s="8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s="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 s="8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s="2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 s="8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s="2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 s="8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s="2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 s="8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s="2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 s="8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s="2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 s="8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s="2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 s="8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s="2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 s="8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s="2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 s="8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s="2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 s="8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s="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 s="8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s="2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 s="8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s="2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 s="8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s="2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 s="8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s="2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 s="8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s="2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 s="8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s="2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 s="8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s="2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 s="8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s="2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 s="8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2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 s="8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s="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 s="8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s="2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 s="8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s="2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 s="8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s="2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 s="8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s="2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 s="8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s="2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 s="8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s="2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 s="8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s="2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 s="8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s="2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 s="8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s="2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 s="8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s="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 s="8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s="2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 s="8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s="2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 s="8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s="2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 s="8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2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 s="8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2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 s="8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s="2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 s="8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s="2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 s="8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s="2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 s="8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s="2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 s="8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s="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 s="8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s="2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 s="8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s="2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 s="8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2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 s="8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s="2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 s="8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s="2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 s="8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s="2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 s="8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s="2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 s="8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s="2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 s="8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 s="8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s="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 s="8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s="2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 s="8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s="2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 s="8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 s="8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s="2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 s="8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s="2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 s="8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s="2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 s="8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s="2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 s="8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s="2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 s="8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s="2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 s="8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s="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 s="8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s="2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 s="8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s="2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 s="8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s="2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 s="8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s="2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 s="8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2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 s="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2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 s="8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 s="8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s="2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 s="8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2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 s="8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s="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 s="8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s="2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 s="8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s="2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 s="8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s="2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 s="8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s="2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 s="8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s="2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 s="8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s="2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 s="8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s="2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 s="8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s="2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 s="8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s="2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 s="8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s="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 s="8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s="2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 s="8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s="2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 s="8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s="2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 s="8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s="2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 s="8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s="2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 s="8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s="2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 s="8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s="2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 s="8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s="2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 s="8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2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 s="8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s="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 s="8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s="2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 s="8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2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 s="8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s="2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 s="8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s="2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 s="8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s="2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 s="8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s="2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 s="8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s="2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 s="8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s="2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 s="8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s="2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 s="8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s="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 s="8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s="2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 s="8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s="2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 s="8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s="2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 s="8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s="2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 s="8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s="2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 s="8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s="2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 s="8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s="2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 s="8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s="2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 s="8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s="2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 s="8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s="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 s="8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s="2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 s="8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s="2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 s="8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s="2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 s="8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2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 s="8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s="2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 s="8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s="2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 s="8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s="2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 s="8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s="2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 s="8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s="2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 s="8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s="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 s="8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s="2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 s="8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2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 s="8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s="2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 s="8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s="2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 s="8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s="2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 s="8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s="2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 s="8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 s="8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s="2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 s="8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s="2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 s="8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s="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 s="8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s="2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 s="8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s="2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 s="8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s="2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 s="8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s="2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 s="8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s="2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 s="8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s="2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 s="8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s="2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 s="8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s="2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 s="8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s="2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 s="8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s="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 s="8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2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 s="8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s="2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 s="8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s="2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 s="8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s="2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 s="8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s="2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 s="8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s="2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 s="8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s="2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 s="8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s="2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 s="8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2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 s="8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s="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 s="8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s="2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 s="8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s="2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 s="8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s="2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 s="8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s="2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 s="8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s="2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 s="8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s="2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 s="8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s="2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 s="8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s="2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 s="8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s="2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 s="8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s="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 s="8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s="2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 s="8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s="2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 s="8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s="2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 s="8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s="2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 s="8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s="2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 s="8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s="2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 s="8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s="2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 s="8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s="2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 s="8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s="2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 s="8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s="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 s="8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 s="8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s="2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 s="8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2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 s="8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s="2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 s="8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s="2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 s="8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s="2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 s="8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s="2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 s="8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 s="8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s="2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 s="8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s="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 s="8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 s="8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s="2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 s="8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2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 s="8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s="2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 s="8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s="2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 s="8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s="2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 s="8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s="2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 s="8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s="2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 s="8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 s="8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s="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 s="8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s="2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 s="8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s="2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 s="8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s="2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 s="8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s="2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 s="8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2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 s="8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s="2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 s="8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s="2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 s="8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s="2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 s="8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s="2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 s="8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s="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 s="8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2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 s="8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s="2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 s="8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s="2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 s="8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s="2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 s="8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2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 s="8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s="2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 s="8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s="2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 s="8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2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 s="8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s="2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 s="8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s="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 s="8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s="2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 s="8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s="2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 s="8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s="2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 s="8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s="2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 s="8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s="2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 s="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2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 s="8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s="2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 s="8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s="2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 s="8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s="2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 s="8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 s="8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s="2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 s="8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s="2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 s="8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s="2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 s="8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 s="8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2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 s="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2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 s="8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s="2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 s="8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s="2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 s="8">
        <v>10475</v>
      </c>
      <c r="B1381">
        <v>1970</v>
      </c>
      <c r="C1381" t="s">
        <v>39</v>
      </c>
      <c r="D1381" t="s">
        <v>33</v>
      </c>
      <c r="E1381">
        <v>51381.5</v>
      </c>
      <c r="F1381">
        <v>0</v>
      </c>
      <c r="G1381">
        <v>1</v>
      </c>
      <c r="H1381" s="2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 s="8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 s="8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s="2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 s="8">
        <v>2902</v>
      </c>
      <c r="B1384">
        <v>1958</v>
      </c>
      <c r="C1384" t="s">
        <v>29</v>
      </c>
      <c r="D1384" t="s">
        <v>33</v>
      </c>
      <c r="E1384">
        <v>51381.5</v>
      </c>
      <c r="F1384">
        <v>1</v>
      </c>
      <c r="G1384">
        <v>1</v>
      </c>
      <c r="H1384" s="2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 s="8">
        <v>4345</v>
      </c>
      <c r="B1385">
        <v>1964</v>
      </c>
      <c r="C1385" t="s">
        <v>53</v>
      </c>
      <c r="D1385" t="s">
        <v>30</v>
      </c>
      <c r="E1385">
        <v>51381.5</v>
      </c>
      <c r="F1385">
        <v>1</v>
      </c>
      <c r="G1385">
        <v>1</v>
      </c>
      <c r="H1385" s="2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 s="8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s="2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 s="8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s="2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 s="8">
        <v>3769</v>
      </c>
      <c r="B1388">
        <v>1972</v>
      </c>
      <c r="C1388" t="s">
        <v>36</v>
      </c>
      <c r="D1388" t="s">
        <v>33</v>
      </c>
      <c r="E1388">
        <v>51381.5</v>
      </c>
      <c r="F1388">
        <v>1</v>
      </c>
      <c r="G1388">
        <v>0</v>
      </c>
      <c r="H1388" s="2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 s="8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s="2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 s="8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s="2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 s="8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s="2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 s="8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s="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 s="8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s="2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 s="8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s="2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 s="8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s="2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 s="8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s="2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 s="8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s="2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 s="8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s="2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 s="8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s="2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 s="8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s="2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 s="8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s="2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 s="8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s="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 s="8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s="2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 s="8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s="2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 s="8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2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 s="8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s="2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 s="8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s="2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 s="8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s="2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 s="8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s="2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 s="8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s="2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 s="8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s="2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 s="8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s="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 s="8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s="2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 s="8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s="2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 s="8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s="2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 s="8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2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 s="8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2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 s="8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s="2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 s="8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s="2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 s="8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s="2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 s="8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s="2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 s="8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s="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 s="8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s="2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 s="8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 s="8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s="2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 s="8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s="2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 s="8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s="2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 s="8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s="2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 s="8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s="2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 s="8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s="2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 s="8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2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 s="8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s="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 s="8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s="2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 s="8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s="2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 s="8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2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 s="8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s="2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 s="8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s="2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 s="8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s="2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 s="8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s="2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 s="8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s="2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 s="8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s="2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 s="8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s="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 s="8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s="2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 s="8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s="2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 s="8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s="2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 s="8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s="2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 s="8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s="2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 s="8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s="2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 s="8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s="2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 s="8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s="2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 s="8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s="2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 s="8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s="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 s="8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s="2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 s="8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2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 s="8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s="2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 s="8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s="2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 s="8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s="2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 s="8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s="2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 s="8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s="2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 s="8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2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 s="8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s="2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 s="8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s="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 s="8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s="2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 s="8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s="2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 s="8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s="2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 s="8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s="2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 s="8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s="2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 s="8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s="2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 s="8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s="2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 s="8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s="2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 s="8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s="2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 s="8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s="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 s="8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s="2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 s="8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2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 s="8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s="2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 s="8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s="2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 s="8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s="2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 s="8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s="2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 s="8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s="2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 s="8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s="2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 s="8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s="2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 s="8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 s="8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s="2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 s="8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s="2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 s="8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s="2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 s="8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s="2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 s="8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 s="8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s="2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 s="8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s="2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 s="8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s="2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 s="8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s="2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 s="8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s="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 s="8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s="2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 s="8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s="2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 s="8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s="2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 s="8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s="2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 s="8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s="2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 s="8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s="2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 s="8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s="2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 s="8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s="2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 s="8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s="2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 s="8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s="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 s="8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s="2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 s="8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s="2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 s="8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s="2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 s="8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s="2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 s="8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s="2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 s="8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s="2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 s="8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s="2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 s="8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s="2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 s="8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s="2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 s="8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 s="8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s="2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 s="8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s="2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 s="8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s="2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 s="8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s="2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 s="8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2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 s="8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s="2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 s="8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 s="8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s="2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 s="8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 s="8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s="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 s="8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s="2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 s="8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2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 s="8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s="2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 s="8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2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 s="8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s="2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 s="8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s="2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 s="8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s="2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 s="8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s="2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 s="8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s="2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 s="8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s="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 s="8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s="2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 s="8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s="2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 s="8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s="2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 s="8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s="2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 s="8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s="2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 s="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2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 s="8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s="2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 s="8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s="2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 s="8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s="2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 s="8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s="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 s="8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s="2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 s="8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s="2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 s="8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s="2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 s="8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s="2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 s="8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s="2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 s="8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s="2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 s="8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2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 s="8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s="2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 s="8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s="2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 s="8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s="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 s="8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s="2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 s="8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s="2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 s="8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s="2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 s="8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s="2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 s="8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s="2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 s="8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s="2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 s="8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s="2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 s="8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s="2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 s="8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s="2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 s="8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s="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 s="8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s="2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 s="8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s="2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 s="8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s="2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 s="8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s="2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 s="8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2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 s="8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s="2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 s="8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s="2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 s="8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s="2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 s="8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s="2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 s="8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s="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 s="8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s="2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 s="8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s="2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 s="8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s="2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 s="8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s="2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 s="8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s="2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 s="8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s="2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 s="8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s="2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 s="8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s="2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 s="8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s="2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 s="8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s="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 s="8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s="2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 s="8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s="2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 s="8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s="2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 s="8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s="2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 s="8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s="2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 s="8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s="2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 s="8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s="2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 s="8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s="2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 s="8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s="2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 s="8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s="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 s="8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s="2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 s="8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s="2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 s="8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s="2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 s="8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s="2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 s="8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s="2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 s="8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s="2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 s="8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2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 s="8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s="2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 s="8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s="2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 s="8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s="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 s="8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s="2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 s="8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s="2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 s="8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s="2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 s="8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s="2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 s="8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s="2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 s="8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s="2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 s="8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s="2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 s="8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s="2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 s="8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s="2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 s="8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 s="8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s="2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 s="8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2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 s="8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2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 s="8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s="2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 s="8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s="2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 s="8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s="2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 s="8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2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 s="8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s="2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 s="8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s="2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 s="8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s="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 s="8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s="2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 s="8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s="2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 s="8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2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 s="8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s="2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 s="8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 s="8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s="2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 s="8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s="2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 s="8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s="2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 s="8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s="2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 s="8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s="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 s="8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s="2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 s="8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s="2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 s="8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s="2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 s="8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s="2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 s="8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s="2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 s="8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s="2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 s="8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s="2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 s="8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s="2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 s="8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s="2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 s="8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s="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 s="8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s="2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 s="8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s="2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 s="8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s="2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 s="8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s="2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 s="8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s="2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 s="8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 s="8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2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 s="8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s="2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 s="8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s="2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 s="8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s="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 s="8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2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 s="8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s="2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 s="8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s="2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 s="8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s="2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 s="8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s="2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 s="8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s="2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 s="8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 s="8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s="2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 s="8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2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 s="8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s="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 s="8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s="2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 s="8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s="2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 s="8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2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 s="8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s="2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 s="8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s="2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 s="8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s="2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 s="8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s="2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 s="8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s="2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 s="8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s="2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 s="8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s="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 s="8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s="2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 s="8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s="2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 s="8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s="2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 s="8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s="2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 s="8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s="2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 s="8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s="2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 s="8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s="2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 s="8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s="2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 s="8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s="2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 s="8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s="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 s="8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s="2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 s="8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s="2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 s="8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s="2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 s="8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s="2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 s="8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s="2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 s="8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 s="8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s="2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 s="8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2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 s="8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2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 s="8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 s="8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s="2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 s="8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s="2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 s="8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s="2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 s="8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s="2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 s="8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s="2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 s="8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s="2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 s="8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s="2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 s="8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s="2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 s="8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s="2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 s="8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s="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 s="8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s="2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 s="8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2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 s="8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s="2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 s="8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s="2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 s="8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s="2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 s="8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s="2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 s="8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s="2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 s="8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s="2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 s="8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s="2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 s="8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s="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 s="8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s="2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 s="8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s="2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 s="8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s="2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 s="8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s="2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 s="8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s="2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 s="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2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 s="8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s="2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 s="8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s="2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 s="8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s="2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 s="8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s="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 s="8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s="2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 s="8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2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 s="8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s="2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 s="8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s="2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 s="8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s="2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 s="8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s="2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 s="8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s="2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 s="8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s="2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 s="8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s="2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 s="8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s="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 s="8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s="2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 s="8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s="2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 s="8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s="2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 s="8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s="2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 s="8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s="2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 s="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2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 s="8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s="2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 s="8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s="2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 s="8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s="2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 s="8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s="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 s="8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s="2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 s="8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s="2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 s="8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s="2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 s="8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s="2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 s="8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s="2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 s="8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s="2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 s="8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s="2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 s="8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s="2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 s="8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 s="8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s="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 s="8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s="2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 s="8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s="2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 s="8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s="2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 s="8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s="2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 s="8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s="2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 s="8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s="2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 s="8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s="2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 s="8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s="2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 s="8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s="2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 s="8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s="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 s="8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s="2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 s="8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s="2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 s="8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s="2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 s="8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s="2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 s="8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s="2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 s="8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s="2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 s="8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s="2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 s="8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s="2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 s="8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s="2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 s="8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s="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 s="8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s="2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 s="8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2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 s="8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s="2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 s="8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s="2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 s="8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s="2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 s="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2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 s="8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s="2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 s="8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s="2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 s="8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s="2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 s="8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s="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 s="8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s="2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 s="8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s="2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 s="8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s="2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 s="8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 s="8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2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 s="8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s="2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 s="8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s="2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 s="8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s="2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 s="8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s="2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 s="8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s="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 s="8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s="2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 s="8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s="2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 s="8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2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 s="8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s="2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 s="8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s="2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 s="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2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 s="8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s="2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 s="8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 s="8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s="2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 s="8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s="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 s="8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s="2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 s="8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s="2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 s="8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2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 s="8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s="2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 s="8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s="2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 s="8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s="2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 s="8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2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 s="8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s="2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 s="8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s="2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 s="8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s="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 s="8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s="2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 s="8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s="2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 s="8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s="2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 s="8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s="2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 s="8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s="2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 s="8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s="2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 s="8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2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 s="8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s="2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 s="8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s="2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 s="8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s="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 s="8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s="2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 s="8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s="2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 s="8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s="2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 s="8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s="2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 s="8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s="2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 s="8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s="2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 s="8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s="2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 s="8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s="2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 s="8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s="2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 s="8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 s="8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s="2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 s="8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s="2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 s="8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s="2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 s="8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s="2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 s="8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s="2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 s="8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 s="8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s="2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 s="8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s="2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 s="8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s="2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 s="8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s="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 s="8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s="2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 s="8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s="2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 s="8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s="2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 s="8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s="2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 s="8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s="2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 s="8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s="2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 s="8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s="2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 s="8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s="2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 s="8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 s="8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s="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 s="8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s="2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 s="8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s="2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 s="8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s="2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 s="8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s="2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 s="8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s="2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 s="8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s="2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 s="8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s="2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 s="8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s="2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 s="8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s="2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 s="8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s="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 s="8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s="2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 s="8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2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 s="8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s="2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 s="8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s="2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 s="8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s="2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 s="8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s="2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 s="8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2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 s="8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s="2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 s="8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s="2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 s="8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s="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 s="8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s="2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 s="8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2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 s="8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s="2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 s="8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s="2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 s="8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s="2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 s="8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s="2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 s="8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s="2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 s="8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s="2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 s="8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s="2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 s="8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s="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 s="8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s="2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 s="8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s="2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 s="8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s="2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 s="8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s="2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 s="8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2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 s="8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s="2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 s="8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s="2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 s="8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 s="8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s="2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 s="8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s="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 s="8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s="2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 s="8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s="2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 s="8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s="2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 s="8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2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 s="8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s="2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 s="8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 s="8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s="2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 s="8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s="2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 s="8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s="2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 s="8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s="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 s="8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2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 s="8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s="2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 s="8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s="2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 s="8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s="2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 s="8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s="2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 s="8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s="2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 s="8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s="2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 s="8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s="2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 s="8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s="2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 s="8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s="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 s="8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2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 s="8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s="2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 s="8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s="2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 s="8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s="2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 s="8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2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 s="8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s="2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 s="8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s="2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 s="8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2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 s="8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s="2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 s="8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s="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 s="8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s="2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 s="8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2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 s="8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s="2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 s="8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2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 s="8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s="2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 s="8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s="2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 s="8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s="2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 s="8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2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 s="8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s="2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 s="8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s="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 s="8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s="2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 s="8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s="2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 s="8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s="2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 s="8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s="2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 s="8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s="2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 s="8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s="2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 s="8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s="2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 s="8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s="2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 s="8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s="2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 s="8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s="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 s="8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s="2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 s="8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2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 s="8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s="2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 s="8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s="2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 s="8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s="2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 s="8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s="2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 s="8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s="2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 s="8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2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 s="8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s="2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 s="8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s="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 s="8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s="2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 s="8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2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 s="8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s="2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 s="8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s="2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 s="8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s="2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 s="8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s="2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 s="8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2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 s="8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2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 s="8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s="2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 s="8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s="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 s="8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s="2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 s="8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s="2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 s="8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2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 s="8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s="2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 s="8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s="2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 s="8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 s="8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s="2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 s="8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s="2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 s="8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s="2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 s="8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s="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 s="8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2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 s="8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 s="8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s="2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 s="8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s="2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 s="8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s="2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 s="8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s="2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 s="8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s="2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 s="8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s="2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 s="8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s="2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 s="8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s="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 s="8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s="2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 s="8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s="2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 s="8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s="2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 s="8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2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 s="8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s="2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 s="8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s="2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 s="8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s="2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 s="8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s="2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 s="8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s="2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 s="8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s="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 s="8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s="2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 s="8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s="2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 s="8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2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 s="8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s="2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 s="8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s="2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 s="8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s="2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 s="8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s="2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 s="8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s="2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 s="8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s="2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 s="8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 s="8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s="2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 s="8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s="2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 s="8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2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 s="8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s="2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 s="8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s="2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 s="8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s="2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 s="8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s="2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 s="8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s="2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 s="8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s="2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 s="8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s="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 s="8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2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 s="8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s="2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 s="8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s="2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 s="8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2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 s="8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s="2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 s="8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s="2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 s="8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s="2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 s="8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s="2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 s="8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s="2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 s="8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s="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 s="8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s="2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 s="8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s="2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 s="8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s="2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 s="8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s="2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 s="8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s="2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 s="8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s="2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 s="8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s="2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 s="8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s="2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 s="8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s="2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 s="8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s="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 s="8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s="2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 s="8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s="2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 s="8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s="2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 s="8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s="2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 s="8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s="2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 s="8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s="2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 s="8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2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 s="8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s="2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 s="8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s="2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 s="8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 s="8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2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 s="8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s="2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 s="8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s="2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 s="8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s="2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 s="8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2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 s="8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s="2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 s="8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s="2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 s="8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2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 s="8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s="2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 s="8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s="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 s="8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2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 s="8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s="2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 s="8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s="2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 s="8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s="2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 s="8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2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 s="8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s="2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 s="8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s="2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 s="8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s="2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 s="8">
        <v>7187</v>
      </c>
      <c r="B2061">
        <v>1969</v>
      </c>
      <c r="C2061" t="s">
        <v>39</v>
      </c>
      <c r="D2061" t="s">
        <v>33</v>
      </c>
      <c r="E2061">
        <v>51381.5</v>
      </c>
      <c r="F2061">
        <v>1</v>
      </c>
      <c r="G2061">
        <v>1</v>
      </c>
      <c r="H2061" s="2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 s="8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s="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 s="8">
        <v>1612</v>
      </c>
      <c r="B2063">
        <v>1981</v>
      </c>
      <c r="C2063" t="s">
        <v>36</v>
      </c>
      <c r="D2063" t="s">
        <v>30</v>
      </c>
      <c r="E2063">
        <v>51381.5</v>
      </c>
      <c r="F2063">
        <v>1</v>
      </c>
      <c r="G2063">
        <v>0</v>
      </c>
      <c r="H2063" s="2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 s="8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s="2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 s="8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s="2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 s="8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s="2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 s="8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s="2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 s="8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s="2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 s="8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s="2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 s="8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s="2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 s="8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s="2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 s="8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s="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 s="8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s="2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 s="8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s="2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 s="8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s="2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 s="8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 s="8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s="2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 s="8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s="2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 s="8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s="2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 s="8">
        <v>5079</v>
      </c>
      <c r="B2080">
        <v>1971</v>
      </c>
      <c r="C2080" t="s">
        <v>29</v>
      </c>
      <c r="D2080" t="s">
        <v>37</v>
      </c>
      <c r="E2080">
        <v>51381.5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 s="8">
        <v>10339</v>
      </c>
      <c r="B2081">
        <v>1954</v>
      </c>
      <c r="C2081" t="s">
        <v>39</v>
      </c>
      <c r="D2081" t="s">
        <v>33</v>
      </c>
      <c r="E2081">
        <v>51381.5</v>
      </c>
      <c r="F2081">
        <v>0</v>
      </c>
      <c r="G2081">
        <v>1</v>
      </c>
      <c r="H2081" s="2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 s="8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s="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 s="8">
        <v>3117</v>
      </c>
      <c r="B2083">
        <v>1955</v>
      </c>
      <c r="C2083" t="s">
        <v>29</v>
      </c>
      <c r="D2083" t="s">
        <v>30</v>
      </c>
      <c r="E2083">
        <v>51381.5</v>
      </c>
      <c r="F2083">
        <v>0</v>
      </c>
      <c r="G2083">
        <v>1</v>
      </c>
      <c r="H2083" s="2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 s="8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s="2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 s="8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s="2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 s="8">
        <v>5250</v>
      </c>
      <c r="B2086">
        <v>1943</v>
      </c>
      <c r="C2086" t="s">
        <v>39</v>
      </c>
      <c r="D2086" t="s">
        <v>71</v>
      </c>
      <c r="E2086">
        <v>51381.5</v>
      </c>
      <c r="F2086">
        <v>0</v>
      </c>
      <c r="G2086">
        <v>0</v>
      </c>
      <c r="H2086" s="2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 s="8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s="2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 s="8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s="2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 s="8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s="2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 s="8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2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 s="8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s="2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 s="8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s="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 s="8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s="2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 s="8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s="2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 s="8">
        <v>7734</v>
      </c>
      <c r="B2095">
        <v>1993</v>
      </c>
      <c r="C2095" t="s">
        <v>29</v>
      </c>
      <c r="D2095" t="s">
        <v>702</v>
      </c>
      <c r="E2095">
        <v>79244</v>
      </c>
      <c r="F2095">
        <v>0</v>
      </c>
      <c r="G2095">
        <v>0</v>
      </c>
      <c r="H2095" s="2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 s="8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s="2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 s="8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s="2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 s="8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s="2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 s="8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2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 s="8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s="2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 s="8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s="2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 s="8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s="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 s="8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s="2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 s="8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s="2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 s="8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s="2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 s="8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s="2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 s="8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s="2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 s="8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s="2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 s="8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s="2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 s="8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s="2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 s="8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2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 s="8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s="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 s="8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s="2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 s="8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s="2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 s="8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s="2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 s="8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s="2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 s="8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s="2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 s="8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s="2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 s="8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s="2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 s="8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s="2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 s="8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s="2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 s="8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s="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 s="8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s="2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 s="8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s="2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 s="8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s="2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 s="8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s="2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 s="8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s="2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 s="8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s="2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 s="8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s="2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 s="8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s="2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 s="8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s="2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 s="8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s="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 s="8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s="2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 s="8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s="2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 s="8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s="2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 s="8">
        <v>4369</v>
      </c>
      <c r="B2136">
        <v>1957</v>
      </c>
      <c r="C2136" t="s">
        <v>39</v>
      </c>
      <c r="D2136" t="s">
        <v>702</v>
      </c>
      <c r="E2136">
        <v>65487</v>
      </c>
      <c r="F2136">
        <v>0</v>
      </c>
      <c r="G2136">
        <v>0</v>
      </c>
      <c r="H2136" s="2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 s="8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s="2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 s="8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s="2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 s="8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2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 s="8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s="2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 s="8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s="2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 s="8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s="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 s="8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s="2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 s="8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s="2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 s="8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s="2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 s="8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2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 s="8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2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 s="8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s="2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 s="8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s="2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 s="8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s="2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 s="8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s="2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 s="8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s="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 s="8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s="2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 s="8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s="2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 s="8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s="2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 s="8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s="2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 s="8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s="2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 s="8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s="2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 s="8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s="2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 s="8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s="2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 s="8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2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 s="8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s="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 s="8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s="2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 s="8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s="2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 s="8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s="2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 s="8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s="2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 s="8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s="2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 s="8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s="2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 s="8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s="2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 s="8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s="2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 s="8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2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 s="8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 s="8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s="2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 s="8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s="2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 s="8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s="2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 s="8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s="2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 s="8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s="2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 s="8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s="2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 s="8">
        <v>492</v>
      </c>
      <c r="B2179">
        <v>1973</v>
      </c>
      <c r="C2179" t="s">
        <v>36</v>
      </c>
      <c r="D2179" t="s">
        <v>703</v>
      </c>
      <c r="E2179">
        <v>48432</v>
      </c>
      <c r="F2179">
        <v>0</v>
      </c>
      <c r="G2179">
        <v>1</v>
      </c>
      <c r="H2179" s="2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 s="8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s="2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 s="8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s="2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 s="8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s="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 s="8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s="2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 s="8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s="2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 s="8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s="2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 s="8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s="2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 s="8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s="2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 s="8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s="2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 s="8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s="2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 s="8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s="2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 s="8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s="2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 s="8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s="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 s="8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s="2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 s="8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s="2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 s="8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s="2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 s="8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s="2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 s="8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s="2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 s="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2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 s="8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s="2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 s="8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s="2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 s="8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s="2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 s="8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s="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 s="8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2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 s="8">
        <v>11133</v>
      </c>
      <c r="B2204">
        <v>1973</v>
      </c>
      <c r="C2204" t="s">
        <v>36</v>
      </c>
      <c r="D2204" t="s">
        <v>703</v>
      </c>
      <c r="E2204">
        <v>48432</v>
      </c>
      <c r="F2204">
        <v>0</v>
      </c>
      <c r="G2204">
        <v>1</v>
      </c>
      <c r="H2204" s="2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 s="8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s="2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 s="8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s="2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 s="8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2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 s="8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s="2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 s="8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s="2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 s="8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s="2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 s="8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s="2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 s="8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s="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 s="8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s="2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 s="8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s="2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 s="8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s="2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 s="8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s="2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 s="8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s="2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 s="8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s="2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 s="8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s="2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 s="8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s="2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 s="8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s="2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 s="8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s="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 s="8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s="2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 s="8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s="2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 s="8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s="2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 s="8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s="2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 s="8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s="2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 s="8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s="2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 s="8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 s="8">
        <v>8720</v>
      </c>
      <c r="B2230">
        <v>1978</v>
      </c>
      <c r="C2230" t="s">
        <v>53</v>
      </c>
      <c r="D2230" t="s">
        <v>33</v>
      </c>
      <c r="E2230">
        <v>51381.5</v>
      </c>
      <c r="F2230">
        <v>0</v>
      </c>
      <c r="G2230">
        <v>0</v>
      </c>
      <c r="H2230" s="2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 s="8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s="2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 s="8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 s="8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s="2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 s="8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2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 s="8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s="2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 s="8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s="2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 s="8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s="2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 s="8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s="2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 s="8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s="2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 s="8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s="2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 s="8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s="2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5CC6-3346-466E-9C13-60943E5A1B7A}">
  <dimension ref="A2:K3"/>
  <sheetViews>
    <sheetView workbookViewId="0">
      <selection activeCell="K3" sqref="K3"/>
    </sheetView>
  </sheetViews>
  <sheetFormatPr defaultRowHeight="14.4" x14ac:dyDescent="0.3"/>
  <cols>
    <col min="1" max="1" width="17.33203125" bestFit="1" customWidth="1"/>
    <col min="3" max="3" width="15.77734375" bestFit="1" customWidth="1"/>
    <col min="5" max="5" width="24.77734375" bestFit="1" customWidth="1"/>
    <col min="7" max="7" width="21.77734375" bestFit="1" customWidth="1"/>
    <col min="9" max="9" width="24.109375" bestFit="1" customWidth="1"/>
    <col min="11" max="11" width="16.5546875" bestFit="1" customWidth="1"/>
  </cols>
  <sheetData>
    <row r="2" spans="1:11" s="11" customFormat="1" x14ac:dyDescent="0.3">
      <c r="A2" s="11" t="s">
        <v>706</v>
      </c>
      <c r="C2" s="11" t="s">
        <v>720</v>
      </c>
      <c r="E2" s="11" t="s">
        <v>705</v>
      </c>
      <c r="G2" s="11" t="s">
        <v>707</v>
      </c>
      <c r="I2" s="11" t="s">
        <v>708</v>
      </c>
      <c r="K2" s="11" t="s">
        <v>709</v>
      </c>
    </row>
    <row r="3" spans="1:11" x14ac:dyDescent="0.3">
      <c r="A3">
        <f>COUNTA('CLEANED DATA'!A2:A2241)</f>
        <v>2240</v>
      </c>
      <c r="C3" s="3">
        <f>SUM('CLEANED DATA'!J2:O2241)</f>
        <v>1356988</v>
      </c>
      <c r="E3" s="4">
        <f>C3/A3</f>
        <v>605.79821428571427</v>
      </c>
      <c r="G3">
        <f>COUNTIF('CLEANED DATA'!AC2:AC2241,1)</f>
        <v>334</v>
      </c>
      <c r="I3" s="5">
        <f>G3/A3</f>
        <v>0.14910714285714285</v>
      </c>
      <c r="K3">
        <f>SUM('CLEANED DATA'!P2:S2241)</f>
        <v>33291</v>
      </c>
    </row>
  </sheetData>
  <conditionalFormatting sqref="A2:XFD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{FFFC3526-5637-4466-9592-D20E5C8437CF}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FC3526-5637-4466-9592-D20E5C8437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A2:XFD2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2853-2999-4AEA-9B52-27BB183ACB05}">
  <dimension ref="A3:G23"/>
  <sheetViews>
    <sheetView tabSelected="1" zoomScale="66" zoomScaleNormal="66" workbookViewId="0">
      <selection activeCell="F33" sqref="F33"/>
    </sheetView>
  </sheetViews>
  <sheetFormatPr defaultRowHeight="14.4" x14ac:dyDescent="0.3"/>
  <cols>
    <col min="1" max="1" width="12.5546875" bestFit="1" customWidth="1"/>
    <col min="2" max="2" width="10.5546875" bestFit="1" customWidth="1"/>
    <col min="3" max="3" width="20.44140625" bestFit="1" customWidth="1"/>
    <col min="4" max="4" width="23.21875" bestFit="1" customWidth="1"/>
    <col min="5" max="5" width="22" bestFit="1" customWidth="1"/>
    <col min="6" max="6" width="23.88671875" bestFit="1" customWidth="1"/>
    <col min="7" max="7" width="19.88671875" bestFit="1" customWidth="1"/>
  </cols>
  <sheetData>
    <row r="3" spans="1:4" x14ac:dyDescent="0.3">
      <c r="A3" s="6" t="s">
        <v>713</v>
      </c>
      <c r="B3" s="6" t="s">
        <v>712</v>
      </c>
    </row>
    <row r="4" spans="1:4" x14ac:dyDescent="0.3">
      <c r="A4" s="6" t="s">
        <v>710</v>
      </c>
      <c r="B4">
        <v>0</v>
      </c>
      <c r="C4">
        <v>1</v>
      </c>
      <c r="D4" t="s">
        <v>711</v>
      </c>
    </row>
    <row r="5" spans="1:4" x14ac:dyDescent="0.3">
      <c r="A5" s="7" t="s">
        <v>53</v>
      </c>
      <c r="B5">
        <v>181</v>
      </c>
      <c r="C5">
        <v>22</v>
      </c>
      <c r="D5">
        <v>203</v>
      </c>
    </row>
    <row r="6" spans="1:4" x14ac:dyDescent="0.3">
      <c r="A6" s="7" t="s">
        <v>47</v>
      </c>
      <c r="B6">
        <v>52</v>
      </c>
      <c r="C6">
        <v>2</v>
      </c>
      <c r="D6">
        <v>54</v>
      </c>
    </row>
    <row r="7" spans="1:4" x14ac:dyDescent="0.3">
      <c r="A7" s="7" t="s">
        <v>29</v>
      </c>
      <c r="B7">
        <v>975</v>
      </c>
      <c r="C7">
        <v>152</v>
      </c>
      <c r="D7">
        <v>1127</v>
      </c>
    </row>
    <row r="8" spans="1:4" x14ac:dyDescent="0.3">
      <c r="A8" s="7" t="s">
        <v>39</v>
      </c>
      <c r="B8">
        <v>313</v>
      </c>
      <c r="C8">
        <v>57</v>
      </c>
      <c r="D8">
        <v>370</v>
      </c>
    </row>
    <row r="9" spans="1:4" x14ac:dyDescent="0.3">
      <c r="A9" s="7" t="s">
        <v>36</v>
      </c>
      <c r="B9">
        <v>385</v>
      </c>
      <c r="C9">
        <v>101</v>
      </c>
      <c r="D9">
        <v>486</v>
      </c>
    </row>
    <row r="10" spans="1:4" x14ac:dyDescent="0.3">
      <c r="A10" s="7" t="s">
        <v>711</v>
      </c>
      <c r="B10">
        <v>1906</v>
      </c>
      <c r="C10">
        <v>334</v>
      </c>
      <c r="D10">
        <v>2240</v>
      </c>
    </row>
    <row r="17" spans="1:7" x14ac:dyDescent="0.3">
      <c r="A17" s="6" t="s">
        <v>710</v>
      </c>
      <c r="B17" t="s">
        <v>714</v>
      </c>
      <c r="C17" t="s">
        <v>715</v>
      </c>
      <c r="D17" t="s">
        <v>716</v>
      </c>
      <c r="E17" t="s">
        <v>717</v>
      </c>
      <c r="F17" t="s">
        <v>718</v>
      </c>
      <c r="G17" t="s">
        <v>719</v>
      </c>
    </row>
    <row r="18" spans="1:7" x14ac:dyDescent="0.3">
      <c r="A18" s="7" t="s">
        <v>53</v>
      </c>
      <c r="B18">
        <v>40231</v>
      </c>
      <c r="C18">
        <v>5878</v>
      </c>
      <c r="D18">
        <v>28675</v>
      </c>
      <c r="E18">
        <v>9639</v>
      </c>
      <c r="F18">
        <v>6953</v>
      </c>
      <c r="G18">
        <v>9419</v>
      </c>
    </row>
    <row r="19" spans="1:7" x14ac:dyDescent="0.3">
      <c r="A19" s="7" t="s">
        <v>47</v>
      </c>
      <c r="B19">
        <v>391</v>
      </c>
      <c r="C19">
        <v>600</v>
      </c>
      <c r="D19">
        <v>618</v>
      </c>
      <c r="E19">
        <v>921</v>
      </c>
      <c r="F19">
        <v>654</v>
      </c>
      <c r="G19">
        <v>1233</v>
      </c>
    </row>
    <row r="20" spans="1:7" x14ac:dyDescent="0.3">
      <c r="A20" s="7" t="s">
        <v>29</v>
      </c>
      <c r="B20">
        <v>320371</v>
      </c>
      <c r="C20">
        <v>34683</v>
      </c>
      <c r="D20">
        <v>202284</v>
      </c>
      <c r="E20">
        <v>48630</v>
      </c>
      <c r="F20">
        <v>35351</v>
      </c>
      <c r="G20">
        <v>57307</v>
      </c>
    </row>
    <row r="21" spans="1:7" x14ac:dyDescent="0.3">
      <c r="A21" s="7" t="s">
        <v>39</v>
      </c>
      <c r="B21">
        <v>123238</v>
      </c>
      <c r="C21">
        <v>8012</v>
      </c>
      <c r="D21">
        <v>60450</v>
      </c>
      <c r="E21">
        <v>11877</v>
      </c>
      <c r="F21">
        <v>7835</v>
      </c>
      <c r="G21">
        <v>14947</v>
      </c>
    </row>
    <row r="22" spans="1:7" x14ac:dyDescent="0.3">
      <c r="A22" s="7" t="s">
        <v>36</v>
      </c>
      <c r="B22">
        <v>196585</v>
      </c>
      <c r="C22">
        <v>9744</v>
      </c>
      <c r="D22">
        <v>81941</v>
      </c>
      <c r="E22">
        <v>12990</v>
      </c>
      <c r="F22">
        <v>9828</v>
      </c>
      <c r="G22">
        <v>15703</v>
      </c>
    </row>
    <row r="23" spans="1:7" x14ac:dyDescent="0.3">
      <c r="A23" s="7" t="s">
        <v>711</v>
      </c>
      <c r="B23">
        <v>680816</v>
      </c>
      <c r="C23">
        <v>58917</v>
      </c>
      <c r="D23">
        <v>373968</v>
      </c>
      <c r="E23">
        <v>84057</v>
      </c>
      <c r="F23">
        <v>60621</v>
      </c>
      <c r="G23">
        <v>98609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C7DB-BAA2-4051-926B-E5257BAEDA8A}">
  <dimension ref="A1:W56"/>
  <sheetViews>
    <sheetView workbookViewId="0">
      <selection activeCell="A41" sqref="A41"/>
    </sheetView>
  </sheetViews>
  <sheetFormatPr defaultRowHeight="14.4" x14ac:dyDescent="0.3"/>
  <cols>
    <col min="1" max="1" width="255.77734375" bestFit="1" customWidth="1"/>
  </cols>
  <sheetData>
    <row r="1" spans="1:23" ht="35.4" x14ac:dyDescent="0.6">
      <c r="A1" s="14" t="s">
        <v>749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22.8" x14ac:dyDescent="0.4">
      <c r="A3" s="15" t="s">
        <v>721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22.8" x14ac:dyDescent="0.4">
      <c r="A5" s="15" t="s">
        <v>750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15.6" x14ac:dyDescent="0.3">
      <c r="A6" s="20" t="s">
        <v>751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22.8" x14ac:dyDescent="0.4">
      <c r="A7" s="15" t="s">
        <v>722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x14ac:dyDescent="0.3">
      <c r="A8" s="16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ht="17.399999999999999" x14ac:dyDescent="0.3">
      <c r="A9" s="17" t="s">
        <v>723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17.399999999999999" x14ac:dyDescent="0.3">
      <c r="A10" s="17" t="s">
        <v>724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17.399999999999999" x14ac:dyDescent="0.3">
      <c r="A11" s="17" t="s">
        <v>725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7.399999999999999" x14ac:dyDescent="0.3">
      <c r="A12" s="17" t="s">
        <v>726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7.399999999999999" x14ac:dyDescent="0.3">
      <c r="A13" s="17" t="s">
        <v>727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22.8" x14ac:dyDescent="0.4">
      <c r="A15" s="15" t="s">
        <v>728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x14ac:dyDescent="0.3">
      <c r="A16" s="16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7.399999999999999" x14ac:dyDescent="0.3">
      <c r="A17" s="17" t="s">
        <v>729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7.399999999999999" x14ac:dyDescent="0.3">
      <c r="A18" s="17" t="s">
        <v>730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7.399999999999999" x14ac:dyDescent="0.3">
      <c r="A19" s="17" t="s">
        <v>731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7.399999999999999" x14ac:dyDescent="0.3">
      <c r="A20" s="17" t="s">
        <v>732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7.399999999999999" x14ac:dyDescent="0.3">
      <c r="A21" s="17" t="s">
        <v>733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22.8" x14ac:dyDescent="0.4">
      <c r="A23" s="15" t="s">
        <v>734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x14ac:dyDescent="0.3">
      <c r="A24" s="16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17.399999999999999" x14ac:dyDescent="0.3">
      <c r="A25" s="18" t="s">
        <v>735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17.399999999999999" x14ac:dyDescent="0.3">
      <c r="A27" s="19" t="s">
        <v>736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x14ac:dyDescent="0.3">
      <c r="A28" s="16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17.399999999999999" x14ac:dyDescent="0.3">
      <c r="A29" s="18" t="s">
        <v>737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17.399999999999999" x14ac:dyDescent="0.3">
      <c r="A31" s="19" t="s">
        <v>738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x14ac:dyDescent="0.3">
      <c r="A32" s="16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ht="17.399999999999999" x14ac:dyDescent="0.3">
      <c r="A33" s="18" t="s">
        <v>739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ht="17.399999999999999" x14ac:dyDescent="0.3">
      <c r="A35" s="19" t="s">
        <v>740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x14ac:dyDescent="0.3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ht="17.399999999999999" x14ac:dyDescent="0.3">
      <c r="A37" s="18" t="s">
        <v>741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17.399999999999999" x14ac:dyDescent="0.3">
      <c r="A39" s="19" t="s">
        <v>742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ht="22.8" x14ac:dyDescent="0.4">
      <c r="A41" s="15" t="s">
        <v>743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x14ac:dyDescent="0.3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ht="17.399999999999999" x14ac:dyDescent="0.3">
      <c r="A43" s="17" t="s">
        <v>744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17.399999999999999" x14ac:dyDescent="0.3">
      <c r="A44" s="17" t="s">
        <v>745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17.399999999999999" x14ac:dyDescent="0.3">
      <c r="A45" s="17" t="s">
        <v>746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7.399999999999999" x14ac:dyDescent="0.3">
      <c r="A46" s="17" t="s">
        <v>747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22.8" x14ac:dyDescent="0.4">
      <c r="A48" s="15" t="s">
        <v>748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5" x14ac:dyDescent="0.3">
      <c r="A49" s="13"/>
      <c r="B49" s="13"/>
      <c r="C49" s="13"/>
      <c r="D49" s="13"/>
      <c r="E49" s="13"/>
    </row>
    <row r="50" spans="1:5" ht="17.399999999999999" x14ac:dyDescent="0.3">
      <c r="A50" s="13" t="s">
        <v>752</v>
      </c>
      <c r="B50" s="13"/>
      <c r="C50" s="13"/>
      <c r="D50" s="13"/>
      <c r="E50" s="13"/>
    </row>
    <row r="51" spans="1:5" ht="17.399999999999999" x14ac:dyDescent="0.3">
      <c r="A51" s="21" t="s">
        <v>753</v>
      </c>
      <c r="B51" s="13"/>
      <c r="C51" s="13"/>
      <c r="D51" s="13"/>
      <c r="E51" s="13"/>
    </row>
    <row r="52" spans="1:5" ht="17.399999999999999" x14ac:dyDescent="0.3">
      <c r="A52" s="21" t="s">
        <v>754</v>
      </c>
      <c r="B52" s="13"/>
      <c r="C52" s="13"/>
      <c r="D52" s="13"/>
      <c r="E52" s="13"/>
    </row>
    <row r="53" spans="1:5" x14ac:dyDescent="0.3">
      <c r="A53" s="13"/>
      <c r="B53" s="13"/>
      <c r="C53" s="13"/>
      <c r="D53" s="13"/>
      <c r="E53" s="13"/>
    </row>
    <row r="54" spans="1:5" x14ac:dyDescent="0.3">
      <c r="A54" s="13"/>
      <c r="B54" s="13"/>
      <c r="C54" s="13"/>
      <c r="D54" s="13"/>
      <c r="E54" s="13"/>
    </row>
    <row r="55" spans="1:5" x14ac:dyDescent="0.3">
      <c r="A55" s="13"/>
      <c r="B55" s="13"/>
      <c r="C55" s="13"/>
      <c r="D55" s="13"/>
      <c r="E55" s="13"/>
    </row>
    <row r="56" spans="1:5" x14ac:dyDescent="0.3">
      <c r="A56" s="13"/>
      <c r="B56" s="13"/>
      <c r="C56" s="13"/>
      <c r="D56" s="13"/>
      <c r="E5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KPI'S</vt:lpstr>
      <vt:lpstr>PIVOT TABLES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Ugwuanyi</cp:lastModifiedBy>
  <dcterms:created xsi:type="dcterms:W3CDTF">2019-03-27T21:05:54Z</dcterms:created>
  <dcterms:modified xsi:type="dcterms:W3CDTF">2026-08-14T23:42:03Z</dcterms:modified>
</cp:coreProperties>
</file>